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esen\Documents\"/>
    </mc:Choice>
  </mc:AlternateContent>
  <xr:revisionPtr revIDLastSave="0" documentId="13_ncr:1_{14A897D2-2C4A-43D2-8C70-31C75986C6A5}" xr6:coauthVersionLast="47" xr6:coauthVersionMax="47" xr10:uidLastSave="{00000000-0000-0000-0000-000000000000}"/>
  <bookViews>
    <workbookView xWindow="-45" yWindow="60" windowWidth="28890" windowHeight="1546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6" i="1"/>
  <c r="G39" i="1"/>
  <c r="F39" i="1"/>
  <c r="E39" i="1"/>
  <c r="E8" i="1"/>
  <c r="E30" i="1"/>
  <c r="F30" i="1" s="1"/>
  <c r="E31" i="1" s="1"/>
  <c r="F31" i="1" s="1"/>
  <c r="E32" i="1" s="1"/>
  <c r="F32" i="1" s="1"/>
  <c r="E33" i="1" s="1"/>
  <c r="F33" i="1" s="1"/>
  <c r="E35" i="1" s="1"/>
  <c r="F35" i="1" s="1"/>
  <c r="G35" i="1" s="1"/>
  <c r="E41" i="1"/>
  <c r="F41" i="1" s="1"/>
  <c r="G41" i="1" s="1"/>
  <c r="E6" i="1"/>
  <c r="E7" i="1"/>
  <c r="E5" i="1"/>
  <c r="F5" i="1" s="1"/>
  <c r="E19" i="1"/>
  <c r="F19" i="1" s="1"/>
  <c r="E20" i="1" s="1"/>
  <c r="F20" i="1" s="1"/>
  <c r="E21" i="1" s="1"/>
  <c r="F21" i="1" s="1"/>
  <c r="E18" i="1"/>
  <c r="F18" i="1" s="1"/>
  <c r="G18" i="1" s="1"/>
  <c r="E17" i="1"/>
  <c r="F17" i="1" s="1"/>
  <c r="E27" i="1"/>
  <c r="F27" i="1" s="1"/>
  <c r="E28" i="1" s="1"/>
  <c r="F28" i="1" s="1"/>
  <c r="E26" i="1"/>
  <c r="F26" i="1" s="1"/>
  <c r="G26" i="1" s="1"/>
  <c r="E37" i="1"/>
  <c r="F37" i="1" s="1"/>
  <c r="E38" i="1" s="1"/>
  <c r="F38" i="1" s="1"/>
  <c r="E40" i="1"/>
  <c r="F40" i="1" s="1"/>
  <c r="G40" i="1" s="1"/>
  <c r="H3" i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E9" i="1" l="1"/>
  <c r="F9" i="1" s="1"/>
  <c r="G9" i="1" s="1"/>
  <c r="E10" i="1"/>
  <c r="G30" i="1"/>
  <c r="G21" i="1"/>
  <c r="E22" i="1"/>
  <c r="F22" i="1" s="1"/>
  <c r="G6" i="1"/>
  <c r="E42" i="1"/>
  <c r="G7" i="1"/>
  <c r="G5" i="1"/>
  <c r="G20" i="1"/>
  <c r="G19" i="1"/>
  <c r="G17" i="1"/>
  <c r="E34" i="1"/>
  <c r="F34" i="1" s="1"/>
  <c r="G34" i="1" s="1"/>
  <c r="E29" i="1"/>
  <c r="F29" i="1" s="1"/>
  <c r="G29" i="1" s="1"/>
  <c r="G37" i="1"/>
  <c r="G27" i="1"/>
  <c r="G33" i="1"/>
  <c r="G32" i="1"/>
  <c r="G31" i="1"/>
  <c r="G28" i="1"/>
  <c r="G38" i="1"/>
  <c r="F10" i="1" l="1"/>
  <c r="E11" i="1" s="1"/>
  <c r="G8" i="1"/>
  <c r="F42" i="1"/>
  <c r="E43" i="1" s="1"/>
  <c r="F43" i="1" s="1"/>
  <c r="G43" i="1" s="1"/>
  <c r="G22" i="1"/>
  <c r="E23" i="1"/>
  <c r="F23" i="1" s="1"/>
  <c r="F11" i="1" l="1"/>
  <c r="E12" i="1" s="1"/>
  <c r="F12" i="1" s="1"/>
  <c r="G10" i="1"/>
  <c r="G23" i="1"/>
  <c r="E24" i="1"/>
  <c r="F24" i="1" s="1"/>
  <c r="G24" i="1" s="1"/>
  <c r="G42" i="1"/>
  <c r="E13" i="1" l="1"/>
  <c r="F13" i="1" s="1"/>
  <c r="G12" i="1"/>
  <c r="G11" i="1"/>
  <c r="E14" i="1" l="1"/>
  <c r="G13" i="1"/>
  <c r="F14" i="1" l="1"/>
  <c r="E15" i="1" s="1"/>
  <c r="F15" i="1" s="1"/>
  <c r="G15" i="1" s="1"/>
  <c r="G14" i="1" l="1"/>
</calcChain>
</file>

<file path=xl/sharedStrings.xml><?xml version="1.0" encoding="utf-8"?>
<sst xmlns="http://schemas.openxmlformats.org/spreadsheetml/2006/main" count="160" uniqueCount="127">
  <si>
    <t>No.</t>
  </si>
  <si>
    <t>Tiêu đề công việc</t>
  </si>
  <si>
    <t>Người phụ trách</t>
  </si>
  <si>
    <t>Sản phẩm</t>
  </si>
  <si>
    <t>Ngày bắt đầu</t>
  </si>
  <si>
    <t>Ngày kết thúc</t>
  </si>
  <si>
    <t>Thời gian
(tuần)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</si>
  <si>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</si>
  <si>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</si>
  <si>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</si>
  <si>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</si>
  <si>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</si>
  <si>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</si>
  <si>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</si>
  <si>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</si>
  <si>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</si>
  <si>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1. Hardware</t>
  </si>
  <si>
    <t>1.1.</t>
  </si>
  <si>
    <t>Tìm hiểu các linh kiện</t>
  </si>
  <si>
    <t>Huy</t>
  </si>
  <si>
    <t>Bảng danh sách linh kiện (BOM) kèm thông số kỹ thuật</t>
  </si>
  <si>
    <t>1.2.</t>
  </si>
  <si>
    <t>Tham khảo khối nguồn</t>
  </si>
  <si>
    <t>Tài liệu thuyết minh giải pháp kỹ thuật</t>
  </si>
  <si>
    <t>1.3.</t>
  </si>
  <si>
    <t>Tham khảo khối chống nhiễu</t>
  </si>
  <si>
    <t>1.4.</t>
  </si>
  <si>
    <t>Vẽ sơ đồ khối</t>
  </si>
  <si>
    <t>Sơ đồ khối hệ thống mô tả luồng tín hiệu và điện áp giữa các module</t>
  </si>
  <si>
    <t>1.5.</t>
  </si>
  <si>
    <t>Thiết kế và mô phỏng mạch</t>
  </si>
  <si>
    <t>Các biểu đồ mô phỏng trên Proteus</t>
  </si>
  <si>
    <t>1.6.</t>
  </si>
  <si>
    <t>Chỉnh sửa, tối ưu mạch</t>
  </si>
  <si>
    <t>Bản báo cáo các thay đổi sau mô phỏng</t>
  </si>
  <si>
    <t>1.7.</t>
  </si>
  <si>
    <t>Vẽ schematic</t>
  </si>
  <si>
    <t>Bản vẽ nguyên lý chi tiết</t>
  </si>
  <si>
    <t>1.8.</t>
  </si>
  <si>
    <t>Thiết kế PCB</t>
  </si>
  <si>
    <t>File thiết kế mạch in và hình ảnh mô phỏng 3D của mạch.</t>
  </si>
  <si>
    <t>1.9.</t>
  </si>
  <si>
    <t>Đặt mạch</t>
  </si>
  <si>
    <t>File in và hóa đơn/xác nhận đặt hàng.</t>
  </si>
  <si>
    <t>1.10.</t>
  </si>
  <si>
    <t>Kiểm tra mạch</t>
  </si>
  <si>
    <t>Bản báo cáo đo đạc thông mạch và điện áp</t>
  </si>
  <si>
    <t>1.11.</t>
  </si>
  <si>
    <t xml:space="preserve">Hoàn tất phần cứng </t>
  </si>
  <si>
    <t>Mạch thật đã hàn linh kiện hoàn chỉnh</t>
  </si>
  <si>
    <t>2. Firmware</t>
  </si>
  <si>
    <t>2.1.</t>
  </si>
  <si>
    <t>Cấu hình môi trường và thư viện</t>
  </si>
  <si>
    <t>Tiến, Huy</t>
  </si>
  <si>
    <t>Danh sách các thư viện sẽ dùng</t>
  </si>
  <si>
    <t>2.2.</t>
  </si>
  <si>
    <t>Định nghĩa sơ đồ chân</t>
  </si>
  <si>
    <t>Sơ đồ kết nối phần cứng</t>
  </si>
  <si>
    <t>2.3.</t>
  </si>
  <si>
    <t>Lập trình kết nối WiFi &amp; Quản lý mạng</t>
  </si>
  <si>
    <r>
      <t xml:space="preserve">Module </t>
    </r>
    <r>
      <rPr>
        <sz val="10"/>
        <color theme="1"/>
        <rFont val="Arial Unicode MS"/>
      </rPr>
      <t>WiFi</t>
    </r>
    <r>
      <rPr>
        <sz val="11"/>
        <color theme="1"/>
        <rFont val="Calibri"/>
        <family val="2"/>
        <scheme val="minor"/>
      </rPr>
      <t xml:space="preserve"> hoạt động ổn định.</t>
    </r>
  </si>
  <si>
    <t>2.4.</t>
  </si>
  <si>
    <t>Lập trình đọc/ghi dữ liệu ngoại vi</t>
  </si>
  <si>
    <t>Mã nguồn giao tiếp với các thiết bị</t>
  </si>
  <si>
    <t>2.5.</t>
  </si>
  <si>
    <t>Xử lý logic nghiệp vụ</t>
  </si>
  <si>
    <t>Mã nguồn các logic điều khiển chính</t>
  </si>
  <si>
    <t>2.6.</t>
  </si>
  <si>
    <t>Tích hợp giao thức truyền tin</t>
  </si>
  <si>
    <t>Các gói tin JSON gửi/nhận thành công.</t>
  </si>
  <si>
    <t>2.7.</t>
  </si>
  <si>
    <t>Kiểm thử</t>
  </si>
  <si>
    <t>Mạch hoạt động ổn định</t>
  </si>
  <si>
    <t>2.8.</t>
  </si>
  <si>
    <t>Hoàn tất firmware</t>
  </si>
  <si>
    <t>File binary hoàn chỉnh</t>
  </si>
  <si>
    <t>3. Software</t>
  </si>
  <si>
    <t>3.1.</t>
  </si>
  <si>
    <t>Nghiên cứu cách phát triển backend bằng ElysiaJS</t>
  </si>
  <si>
    <t>Tiến</t>
  </si>
  <si>
    <t>3.2.</t>
  </si>
  <si>
    <t>Nguyên cứu phát triển ứng dụng bằng React và React Native</t>
  </si>
  <si>
    <t>Bộ khung dự án đã cấu hình sẵn thư viện cần thiết và tài liệu quy chuẩn code</t>
  </si>
  <si>
    <t>3.3.</t>
  </si>
  <si>
    <t>Nghiên cứu cơ chế Real-time với Server-Sent Events</t>
  </si>
  <si>
    <t>3.4.</t>
  </si>
  <si>
    <t>Nghiên cứu cách triển khai ứng dụng lên Cloudflare Workers</t>
  </si>
  <si>
    <t>3.5.</t>
  </si>
  <si>
    <t>Thiết kế giao diện phần mềm</t>
  </si>
  <si>
    <t>Bản vẽ Wireframe hoặc Prototype hoàn chỉnh trên Figma</t>
  </si>
  <si>
    <t>3.6.</t>
  </si>
  <si>
    <t>Hoàn thiện các API endpoint</t>
  </si>
  <si>
    <t>Tài liệu API và bộ mã nguồn Backend hoàn chỉnh đã được unit test.</t>
  </si>
  <si>
    <t>Hoàn thiện giao diện ứng dụng</t>
  </si>
  <si>
    <t>3.8.</t>
  </si>
  <si>
    <t>Kiểm thử hệ thống</t>
  </si>
  <si>
    <t>Các file kịch bản test chứa các trường hợp kiểm thử cho từng controller và màn hình</t>
  </si>
  <si>
    <t>3.9.</t>
  </si>
  <si>
    <t>Hoàn thiện phầm mềm</t>
  </si>
  <si>
    <t>4. Khác</t>
  </si>
  <si>
    <t>4.1.</t>
  </si>
  <si>
    <t>Tìm hiểu lý thuyết</t>
  </si>
  <si>
    <t>Tổng hợp kiến thức, xác định hướng đi của đề tài</t>
  </si>
  <si>
    <t>Phân tích thiết kế hệ thống</t>
  </si>
  <si>
    <t>Danh sách usecase, sequence diagram, test cases</t>
  </si>
  <si>
    <t>Báo cáo giữa kì</t>
  </si>
  <si>
    <t>4.3.</t>
  </si>
  <si>
    <t>Kiểm thử và tối ưu</t>
  </si>
  <si>
    <t>Bảng kết quả kiểm thử và đo đạt</t>
  </si>
  <si>
    <t>Hoàn thành báo cáo</t>
  </si>
  <si>
    <t>File .docx, .pdf, .ppt</t>
  </si>
  <si>
    <t>4.5.</t>
  </si>
  <si>
    <t>Bảo vệ</t>
  </si>
  <si>
    <t>Thiết kế cơ sở dữ liệu</t>
  </si>
  <si>
    <t>Bản vẽ các thực thể, thuộc tính và mối quan hệ giữa chúng</t>
  </si>
  <si>
    <t>3.7.</t>
  </si>
  <si>
    <t>3.10.</t>
  </si>
  <si>
    <t>Địa chỉ URL chính thức của ứng dụng đang hoạt động</t>
  </si>
  <si>
    <t>Mã nguồn Frontent hoàn chỉnh, khớp với thiết kế Figma và đã kết nối dữ liệu từ API</t>
  </si>
  <si>
    <r>
      <t xml:space="preserve">Tài liệu hướng dẫn quy trình triển khai và file cấu hình </t>
    </r>
    <r>
      <rPr>
        <sz val="10"/>
        <color theme="1"/>
        <rFont val="Arial Unicode MS"/>
      </rPr>
      <t>wrangler.json</t>
    </r>
    <r>
      <rPr>
        <sz val="11"/>
        <color theme="1"/>
        <rFont val="Calibri"/>
        <family val="2"/>
        <scheme val="minor"/>
      </rPr>
      <t xml:space="preserve"> mẫu</t>
    </r>
  </si>
  <si>
    <t>Tài liệu đặc tả kỹ thuật luồng dữ liệu và mã nguồn thử nghiệm việc đẩy dữ liệu từ server xuống client theo thời gian thực</t>
  </si>
  <si>
    <t>Tài liệu hướng dẫn cấu trúc dự án và một dự án mẫu chạy được các tính năng CRUD cơ bản</t>
  </si>
  <si>
    <t>Bảo vệ đề cương</t>
  </si>
  <si>
    <t>4.2.</t>
  </si>
  <si>
    <t xml:space="preserve">4.4. </t>
  </si>
  <si>
    <t>4.6.</t>
  </si>
  <si>
    <t>4.7.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</si>
</sst>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0"/>
      <color theme="1"/>
      <name val="Arial Unicode MS"/>
    </font>
  </fonts>
  <fills count="1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1" xfId="1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64" fontId="4" fillId="6" borderId="1" xfId="0" applyNumberFormat="1" applyFont="1" applyFill="1" applyBorder="1" applyAlignment="1">
      <alignment horizontal="left" vertical="center"/>
    </xf>
    <xf numFmtId="164" fontId="4" fillId="2" borderId="1" xfId="0" applyNumberFormat="1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left" vertical="center"/>
    </xf>
    <xf numFmtId="164" fontId="4" fillId="0" borderId="0" xfId="0" applyNumberFormat="1" applyFont="1" applyAlignment="1">
      <alignment vertical="center"/>
    </xf>
    <xf numFmtId="164" fontId="4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  <xf numFmtId="164" fontId="2" fillId="0" borderId="1" xfId="0" applyNumberFormat="1" applyFont="1" applyBorder="1" applyAlignment="1">
      <alignment wrapText="1"/>
    </xf>
    <xf numFmtId="164" fontId="2" fillId="0" borderId="1" xfId="0" applyNumberFormat="1" applyFont="1" applyBorder="1"/>
    <xf numFmtId="164" fontId="2" fillId="0" borderId="0" xfId="0" applyNumberFormat="1" applyFont="1"/>
    <xf numFmtId="164" fontId="6" fillId="8" borderId="1" xfId="0" applyNumberFormat="1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left" vertical="center"/>
    </xf>
    <xf numFmtId="164" fontId="2" fillId="3" borderId="1" xfId="0" applyNumberFormat="1" applyFont="1" applyFill="1" applyBorder="1"/>
    <xf numFmtId="164" fontId="4" fillId="8" borderId="1" xfId="0" applyNumberFormat="1" applyFont="1" applyFill="1" applyBorder="1" applyAlignment="1">
      <alignment horizontal="left" vertical="center"/>
    </xf>
    <xf numFmtId="164" fontId="4" fillId="9" borderId="1" xfId="0" applyNumberFormat="1" applyFont="1" applyFill="1" applyBorder="1" applyAlignment="1">
      <alignment horizontal="left" vertical="center"/>
    </xf>
    <xf numFmtId="0" fontId="0" fillId="9" borderId="1" xfId="0" applyFill="1" applyBorder="1"/>
    <xf numFmtId="164" fontId="0" fillId="0" borderId="1" xfId="0" applyNumberFormat="1" applyBorder="1" applyAlignment="1">
      <alignment horizontal="left"/>
    </xf>
    <xf numFmtId="164" fontId="5" fillId="0" borderId="0" xfId="0" applyNumberFormat="1" applyFont="1" applyAlignment="1">
      <alignment horizontal="left" vertical="center"/>
    </xf>
    <xf numFmtId="164" fontId="2" fillId="0" borderId="1" xfId="0" applyNumberFormat="1" applyFont="1" applyBorder="1" applyAlignment="1">
      <alignment horizontal="left"/>
    </xf>
    <xf numFmtId="164" fontId="5" fillId="5" borderId="1" xfId="0" applyNumberFormat="1" applyFont="1" applyFill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P43"/>
  <sheetViews>
    <sheetView tabSelected="1" zoomScale="79" workbookViewId="0">
      <selection activeCell="I12" sqref="I12"/>
    </sheetView>
  </sheetViews>
  <sheetFormatPr defaultRowHeight="15" x14ac:dyDescent="0.25"/>
  <cols>
    <col min="1" max="1" width="5.7109375" bestFit="1" customWidth="1"/>
    <col min="2" max="2" width="58.28515625" bestFit="1" customWidth="1"/>
    <col min="3" max="3" width="18.7109375" bestFit="1" customWidth="1"/>
    <col min="4" max="4" width="86" bestFit="1" customWidth="1"/>
    <col min="5" max="5" width="15.28515625" bestFit="1" customWidth="1"/>
    <col min="6" max="6" width="16.5703125" bestFit="1" customWidth="1"/>
    <col min="7" max="7" width="6.5703125" style="11" bestFit="1" customWidth="1"/>
    <col min="8" max="8" width="14.28515625" bestFit="1" customWidth="1"/>
    <col min="9" max="11" width="14.5703125" bestFit="1" customWidth="1"/>
    <col min="12" max="12" width="13.85546875" bestFit="1" customWidth="1"/>
    <col min="13" max="13" width="14.28515625" bestFit="1" customWidth="1"/>
    <col min="14" max="14" width="14.5703125" bestFit="1" customWidth="1"/>
    <col min="15" max="15" width="14.28515625" bestFit="1" customWidth="1"/>
    <col min="16" max="16" width="14.5703125" bestFit="1" customWidth="1"/>
    <col min="17" max="17" width="14.28515625" bestFit="1" customWidth="1"/>
    <col min="18" max="20" width="14.5703125" bestFit="1" customWidth="1"/>
    <col min="21" max="21" width="14.28515625" bestFit="1" customWidth="1"/>
    <col min="22" max="24" width="14.5703125" bestFit="1" customWidth="1"/>
    <col min="25" max="26" width="14.28515625" bestFit="1" customWidth="1"/>
    <col min="27" max="27" width="14.5703125" bestFit="1" customWidth="1"/>
    <col min="28" max="28" width="14.28515625" bestFit="1" customWidth="1"/>
    <col min="29" max="29" width="14.5703125" bestFit="1" customWidth="1"/>
    <col min="30" max="31" width="14.28515625" bestFit="1" customWidth="1"/>
    <col min="32" max="32" width="14.5703125" bestFit="1" customWidth="1"/>
    <col min="33" max="33" width="14.28515625" bestFit="1" customWidth="1"/>
    <col min="34" max="35" width="13.85546875" bestFit="1" customWidth="1"/>
    <col min="36" max="36" width="14.28515625" bestFit="1" customWidth="1"/>
    <col min="37" max="38" width="13.85546875" bestFit="1" customWidth="1"/>
    <col min="39" max="39" width="13.42578125" bestFit="1" customWidth="1"/>
    <col min="40" max="41" width="13.85546875" bestFit="1" customWidth="1"/>
    <col min="42" max="42" width="14.28515625" bestFit="1" customWidth="1"/>
    <col min="43" max="43" width="10.7109375" bestFit="1" customWidth="1"/>
  </cols>
  <sheetData>
    <row r="2" spans="1:42" s="33" customFormat="1" x14ac:dyDescent="0.25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8" t="s">
        <v>6</v>
      </c>
      <c r="H2" s="37" t="s">
        <v>7</v>
      </c>
      <c r="I2" s="37"/>
      <c r="J2" s="37" t="s">
        <v>8</v>
      </c>
      <c r="K2" s="37"/>
      <c r="L2" s="37"/>
      <c r="M2" s="37"/>
      <c r="N2" s="37"/>
      <c r="O2" s="37" t="s">
        <v>9</v>
      </c>
      <c r="P2" s="37"/>
      <c r="Q2" s="37"/>
      <c r="R2" s="37"/>
      <c r="S2" s="37"/>
      <c r="T2" s="37" t="s">
        <v>10</v>
      </c>
      <c r="U2" s="37"/>
      <c r="V2" s="37"/>
      <c r="W2" s="37"/>
      <c r="X2" s="37" t="s">
        <v>11</v>
      </c>
      <c r="Y2" s="37"/>
      <c r="Z2" s="37"/>
      <c r="AA2" s="37"/>
      <c r="AB2" s="37"/>
      <c r="AC2" s="37" t="s">
        <v>12</v>
      </c>
      <c r="AD2" s="37"/>
      <c r="AE2" s="37"/>
      <c r="AF2" s="37"/>
      <c r="AG2" s="37" t="s">
        <v>13</v>
      </c>
      <c r="AH2" s="37"/>
      <c r="AI2" s="37"/>
      <c r="AJ2" s="37"/>
      <c r="AK2" s="37" t="s">
        <v>14</v>
      </c>
      <c r="AL2" s="37"/>
      <c r="AM2" s="37"/>
      <c r="AN2" s="37"/>
      <c r="AO2" s="37" t="s">
        <v>15</v>
      </c>
      <c r="AP2" s="37"/>
    </row>
    <row r="3" spans="1:42" s="33" customFormat="1" x14ac:dyDescent="0.25">
      <c r="A3" s="37"/>
      <c r="B3" s="37"/>
      <c r="C3" s="37"/>
      <c r="D3" s="37"/>
      <c r="E3" s="37"/>
      <c r="F3" s="37"/>
      <c r="G3" s="39"/>
      <c r="H3" s="8">
        <f>DATE(2026,4,13)</f>
        <v>46125</v>
      </c>
      <c r="I3" s="8">
        <f>H3+7</f>
        <v>46132</v>
      </c>
      <c r="J3" s="8">
        <f t="shared" ref="J3:AP3" si="0">I3+7</f>
        <v>46139</v>
      </c>
      <c r="K3" s="8">
        <f t="shared" si="0"/>
        <v>46146</v>
      </c>
      <c r="L3" s="8">
        <f t="shared" si="0"/>
        <v>46153</v>
      </c>
      <c r="M3" s="8">
        <f t="shared" si="0"/>
        <v>46160</v>
      </c>
      <c r="N3" s="8">
        <f t="shared" si="0"/>
        <v>46167</v>
      </c>
      <c r="O3" s="8">
        <f t="shared" si="0"/>
        <v>46174</v>
      </c>
      <c r="P3" s="8">
        <f t="shared" si="0"/>
        <v>46181</v>
      </c>
      <c r="Q3" s="8">
        <f t="shared" si="0"/>
        <v>46188</v>
      </c>
      <c r="R3" s="8">
        <f t="shared" si="0"/>
        <v>46195</v>
      </c>
      <c r="S3" s="8">
        <f t="shared" si="0"/>
        <v>46202</v>
      </c>
      <c r="T3" s="8">
        <f t="shared" si="0"/>
        <v>46209</v>
      </c>
      <c r="U3" s="8">
        <f t="shared" si="0"/>
        <v>46216</v>
      </c>
      <c r="V3" s="8">
        <f t="shared" si="0"/>
        <v>46223</v>
      </c>
      <c r="W3" s="8">
        <f t="shared" si="0"/>
        <v>46230</v>
      </c>
      <c r="X3" s="8">
        <f t="shared" si="0"/>
        <v>46237</v>
      </c>
      <c r="Y3" s="8">
        <f t="shared" si="0"/>
        <v>46244</v>
      </c>
      <c r="Z3" s="8">
        <f t="shared" si="0"/>
        <v>46251</v>
      </c>
      <c r="AA3" s="8">
        <f t="shared" si="0"/>
        <v>46258</v>
      </c>
      <c r="AB3" s="8">
        <f t="shared" si="0"/>
        <v>46265</v>
      </c>
      <c r="AC3" s="8">
        <f>AB3+7</f>
        <v>46272</v>
      </c>
      <c r="AD3" s="8">
        <f>AC3+7</f>
        <v>46279</v>
      </c>
      <c r="AE3" s="8">
        <f t="shared" si="0"/>
        <v>46286</v>
      </c>
      <c r="AF3" s="8">
        <f t="shared" si="0"/>
        <v>46293</v>
      </c>
      <c r="AG3" s="8">
        <f>AF3+7</f>
        <v>46300</v>
      </c>
      <c r="AH3" s="8">
        <f>AG3+7</f>
        <v>46307</v>
      </c>
      <c r="AI3" s="8">
        <f t="shared" si="0"/>
        <v>46314</v>
      </c>
      <c r="AJ3" s="8">
        <f t="shared" si="0"/>
        <v>46321</v>
      </c>
      <c r="AK3" s="8">
        <f t="shared" si="0"/>
        <v>46328</v>
      </c>
      <c r="AL3" s="8">
        <f t="shared" si="0"/>
        <v>46335</v>
      </c>
      <c r="AM3" s="8">
        <f t="shared" si="0"/>
        <v>46342</v>
      </c>
      <c r="AN3" s="8">
        <f t="shared" si="0"/>
        <v>46349</v>
      </c>
      <c r="AO3" s="8">
        <f t="shared" si="0"/>
        <v>46356</v>
      </c>
      <c r="AP3" s="8">
        <f t="shared" si="0"/>
        <v>46363</v>
      </c>
    </row>
    <row r="4" spans="1:42" s="10" customFormat="1" x14ac:dyDescent="0.25">
      <c r="A4" s="35" t="s">
        <v>16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</row>
    <row r="5" spans="1:42" s="9" customFormat="1" x14ac:dyDescent="0.25">
      <c r="A5" s="16" t="s">
        <v>17</v>
      </c>
      <c r="B5" s="5" t="s">
        <v>18</v>
      </c>
      <c r="C5" s="5" t="s">
        <v>19</v>
      </c>
      <c r="D5" s="2" t="s">
        <v>20</v>
      </c>
      <c r="E5" s="6">
        <f>DATE(2026,4,13)</f>
        <v>46125</v>
      </c>
      <c r="F5" s="5">
        <f>E5+6</f>
        <v>46131</v>
      </c>
      <c r="G5" s="4">
        <f>ROUNDUP((F5 - E5) / 7, 0)</f>
        <v>1</v>
      </c>
      <c r="H5" s="1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</row>
    <row r="6" spans="1:42" s="9" customFormat="1" x14ac:dyDescent="0.25">
      <c r="A6" s="16" t="s">
        <v>21</v>
      </c>
      <c r="B6" s="5" t="s">
        <v>22</v>
      </c>
      <c r="C6" s="5" t="s">
        <v>19</v>
      </c>
      <c r="D6" s="36" t="s">
        <v>23</v>
      </c>
      <c r="E6" s="6">
        <f t="shared" ref="E6:E7" si="1">DATE(2026,4,13)</f>
        <v>46125</v>
      </c>
      <c r="F6" s="5">
        <f>E6+7*2-1</f>
        <v>46138</v>
      </c>
      <c r="G6" s="4">
        <f t="shared" ref="G6:G15" si="2">ROUNDUP((F6 - E6) / 7, 0)</f>
        <v>2</v>
      </c>
      <c r="H6" s="12"/>
      <c r="I6" s="12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</row>
    <row r="7" spans="1:42" s="9" customFormat="1" x14ac:dyDescent="0.25">
      <c r="A7" s="16" t="s">
        <v>24</v>
      </c>
      <c r="B7" s="5" t="s">
        <v>25</v>
      </c>
      <c r="C7" s="5" t="s">
        <v>19</v>
      </c>
      <c r="D7" s="36"/>
      <c r="E7" s="6">
        <f t="shared" si="1"/>
        <v>46125</v>
      </c>
      <c r="F7" s="5">
        <f>E7+7*2-1</f>
        <v>46138</v>
      </c>
      <c r="G7" s="4">
        <f t="shared" si="2"/>
        <v>2</v>
      </c>
      <c r="H7" s="12"/>
      <c r="I7" s="12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</row>
    <row r="8" spans="1:42" s="9" customFormat="1" x14ac:dyDescent="0.25">
      <c r="A8" s="16" t="s">
        <v>26</v>
      </c>
      <c r="B8" s="5" t="s">
        <v>27</v>
      </c>
      <c r="C8" s="5" t="s">
        <v>19</v>
      </c>
      <c r="D8" s="5" t="s">
        <v>28</v>
      </c>
      <c r="E8" s="6">
        <f>DATE(2026, 7, 6)</f>
        <v>46209</v>
      </c>
      <c r="F8" s="5">
        <f t="shared" ref="F6:F8" si="3">E8+6</f>
        <v>46215</v>
      </c>
      <c r="G8" s="4">
        <f t="shared" si="2"/>
        <v>1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12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</row>
    <row r="9" spans="1:42" s="9" customFormat="1" x14ac:dyDescent="0.25">
      <c r="A9" s="16" t="s">
        <v>29</v>
      </c>
      <c r="B9" s="5" t="s">
        <v>30</v>
      </c>
      <c r="C9" s="5" t="s">
        <v>19</v>
      </c>
      <c r="D9" s="1" t="s">
        <v>31</v>
      </c>
      <c r="E9" s="5">
        <f>F8+1</f>
        <v>46216</v>
      </c>
      <c r="F9" s="5">
        <f>E9+7*2-1</f>
        <v>46229</v>
      </c>
      <c r="G9" s="4">
        <f t="shared" si="2"/>
        <v>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12"/>
      <c r="V9" s="12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</row>
    <row r="10" spans="1:42" s="9" customFormat="1" x14ac:dyDescent="0.25">
      <c r="A10" s="16" t="s">
        <v>32</v>
      </c>
      <c r="B10" s="5" t="s">
        <v>33</v>
      </c>
      <c r="C10" s="5" t="s">
        <v>19</v>
      </c>
      <c r="D10" s="5" t="s">
        <v>34</v>
      </c>
      <c r="E10" s="5">
        <f t="shared" ref="E10:E15" si="4">F9+1</f>
        <v>46230</v>
      </c>
      <c r="F10" s="5">
        <f>E10+6</f>
        <v>46236</v>
      </c>
      <c r="G10" s="4">
        <f t="shared" si="2"/>
        <v>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12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</row>
    <row r="11" spans="1:42" s="9" customFormat="1" x14ac:dyDescent="0.25">
      <c r="A11" s="16" t="s">
        <v>35</v>
      </c>
      <c r="B11" s="5" t="s">
        <v>36</v>
      </c>
      <c r="C11" s="5" t="s">
        <v>19</v>
      </c>
      <c r="D11" s="5" t="s">
        <v>37</v>
      </c>
      <c r="E11" s="5">
        <f t="shared" si="4"/>
        <v>46237</v>
      </c>
      <c r="F11" s="5">
        <f>E11+7*3-1</f>
        <v>46257</v>
      </c>
      <c r="G11" s="4">
        <f t="shared" si="2"/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W11" s="6"/>
      <c r="X11" s="12"/>
      <c r="Y11" s="12"/>
      <c r="Z11" s="12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</row>
    <row r="12" spans="1:42" s="9" customFormat="1" x14ac:dyDescent="0.25">
      <c r="A12" s="16" t="s">
        <v>38</v>
      </c>
      <c r="B12" s="5" t="s">
        <v>39</v>
      </c>
      <c r="C12" s="5" t="s">
        <v>19</v>
      </c>
      <c r="D12" s="5" t="s">
        <v>40</v>
      </c>
      <c r="E12" s="5">
        <f t="shared" si="4"/>
        <v>46258</v>
      </c>
      <c r="F12" s="5">
        <f>E12+7*3-1</f>
        <v>46278</v>
      </c>
      <c r="G12" s="4">
        <f t="shared" si="2"/>
        <v>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12"/>
      <c r="AB12" s="12"/>
      <c r="AC12" s="12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</row>
    <row r="13" spans="1:42" s="9" customFormat="1" x14ac:dyDescent="0.25">
      <c r="A13" s="16" t="s">
        <v>41</v>
      </c>
      <c r="B13" s="5" t="s">
        <v>42</v>
      </c>
      <c r="C13" s="5" t="s">
        <v>19</v>
      </c>
      <c r="D13" s="5" t="s">
        <v>43</v>
      </c>
      <c r="E13" s="5">
        <f t="shared" si="4"/>
        <v>46279</v>
      </c>
      <c r="F13" s="5">
        <f>E13+6</f>
        <v>46285</v>
      </c>
      <c r="G13" s="4">
        <f t="shared" si="2"/>
        <v>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D13" s="12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</row>
    <row r="14" spans="1:42" s="9" customFormat="1" x14ac:dyDescent="0.25">
      <c r="A14" s="16" t="s">
        <v>44</v>
      </c>
      <c r="B14" s="5" t="s">
        <v>45</v>
      </c>
      <c r="C14" s="5" t="s">
        <v>19</v>
      </c>
      <c r="D14" s="1" t="s">
        <v>46</v>
      </c>
      <c r="E14" s="5">
        <f t="shared" si="4"/>
        <v>46286</v>
      </c>
      <c r="F14" s="5">
        <f t="shared" ref="F14:F15" si="5">E14+6</f>
        <v>46292</v>
      </c>
      <c r="G14" s="4">
        <f t="shared" si="2"/>
        <v>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12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 spans="1:42" s="9" customFormat="1" x14ac:dyDescent="0.25">
      <c r="A15" s="16" t="s">
        <v>47</v>
      </c>
      <c r="B15" s="5" t="s">
        <v>48</v>
      </c>
      <c r="C15" s="5" t="s">
        <v>19</v>
      </c>
      <c r="D15" s="1" t="s">
        <v>49</v>
      </c>
      <c r="E15" s="5">
        <f t="shared" si="4"/>
        <v>46293</v>
      </c>
      <c r="F15" s="5">
        <f t="shared" si="5"/>
        <v>46299</v>
      </c>
      <c r="G15" s="4">
        <f t="shared" si="2"/>
        <v>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12"/>
      <c r="AG15" s="6"/>
      <c r="AH15" s="6"/>
      <c r="AI15" s="6"/>
      <c r="AJ15" s="6"/>
      <c r="AK15" s="6"/>
      <c r="AL15" s="6"/>
      <c r="AM15" s="6"/>
      <c r="AN15" s="6"/>
      <c r="AO15" s="6"/>
      <c r="AP15" s="6"/>
    </row>
    <row r="16" spans="1:42" s="10" customFormat="1" x14ac:dyDescent="0.25">
      <c r="A16" s="35" t="s">
        <v>50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</row>
    <row r="17" spans="1:42" s="9" customFormat="1" x14ac:dyDescent="0.25">
      <c r="A17" s="16" t="s">
        <v>51</v>
      </c>
      <c r="B17" s="2" t="s">
        <v>52</v>
      </c>
      <c r="C17" s="5" t="s">
        <v>53</v>
      </c>
      <c r="D17" s="1" t="s">
        <v>54</v>
      </c>
      <c r="E17" s="6">
        <f>DATE(2026,4,13)</f>
        <v>46125</v>
      </c>
      <c r="F17" s="5">
        <f>E17+6</f>
        <v>46131</v>
      </c>
      <c r="G17" s="7">
        <f>ROUNDUP((F17 - E17) / 7, 0)</f>
        <v>1</v>
      </c>
      <c r="H17" s="1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</row>
    <row r="18" spans="1:42" s="9" customFormat="1" x14ac:dyDescent="0.25">
      <c r="A18" s="16" t="s">
        <v>55</v>
      </c>
      <c r="B18" s="2" t="s">
        <v>56</v>
      </c>
      <c r="C18" s="5" t="s">
        <v>53</v>
      </c>
      <c r="D18" s="1" t="s">
        <v>57</v>
      </c>
      <c r="E18" s="6">
        <f>DATE(2026,4,13)</f>
        <v>46125</v>
      </c>
      <c r="F18" s="5">
        <f>E18+6</f>
        <v>46131</v>
      </c>
      <c r="G18" s="7">
        <f t="shared" ref="G18:G24" si="6">ROUNDUP((F18 - E18) / 7, 0)</f>
        <v>1</v>
      </c>
      <c r="H18" s="1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</row>
    <row r="19" spans="1:42" s="9" customFormat="1" x14ac:dyDescent="0.25">
      <c r="A19" s="16" t="s">
        <v>58</v>
      </c>
      <c r="B19" s="2" t="s">
        <v>59</v>
      </c>
      <c r="C19" s="5" t="s">
        <v>53</v>
      </c>
      <c r="D19" s="1" t="s">
        <v>60</v>
      </c>
      <c r="E19" s="6">
        <f>DATE(2026, 7, 6)</f>
        <v>46209</v>
      </c>
      <c r="F19" s="5">
        <f>E19+6</f>
        <v>46215</v>
      </c>
      <c r="G19" s="7">
        <f t="shared" si="6"/>
        <v>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30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</row>
    <row r="20" spans="1:42" s="9" customFormat="1" x14ac:dyDescent="0.25">
      <c r="A20" s="16" t="s">
        <v>61</v>
      </c>
      <c r="B20" s="2" t="s">
        <v>62</v>
      </c>
      <c r="C20" s="5" t="s">
        <v>53</v>
      </c>
      <c r="D20" s="5" t="s">
        <v>63</v>
      </c>
      <c r="E20" s="5">
        <f>F19+1</f>
        <v>46216</v>
      </c>
      <c r="F20" s="5">
        <f>E20+6</f>
        <v>46222</v>
      </c>
      <c r="G20" s="7">
        <f t="shared" si="6"/>
        <v>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30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</row>
    <row r="21" spans="1:42" s="9" customFormat="1" x14ac:dyDescent="0.25">
      <c r="A21" s="16" t="s">
        <v>64</v>
      </c>
      <c r="B21" s="2" t="s">
        <v>65</v>
      </c>
      <c r="C21" s="5" t="s">
        <v>53</v>
      </c>
      <c r="D21" s="5" t="s">
        <v>66</v>
      </c>
      <c r="E21" s="5">
        <f>F20+1</f>
        <v>46223</v>
      </c>
      <c r="F21" s="5">
        <f>E21+5*7-1</f>
        <v>46257</v>
      </c>
      <c r="G21" s="7">
        <f t="shared" si="6"/>
        <v>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30"/>
      <c r="W21" s="30"/>
      <c r="X21" s="30"/>
      <c r="Y21" s="30"/>
      <c r="Z21" s="30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</row>
    <row r="22" spans="1:42" s="9" customFormat="1" x14ac:dyDescent="0.25">
      <c r="A22" s="16" t="s">
        <v>67</v>
      </c>
      <c r="B22" s="2" t="s">
        <v>68</v>
      </c>
      <c r="C22" s="5" t="s">
        <v>53</v>
      </c>
      <c r="D22" s="1" t="s">
        <v>69</v>
      </c>
      <c r="E22" s="5">
        <f>F21+1</f>
        <v>46258</v>
      </c>
      <c r="F22" s="5">
        <f>E22+2*7-1</f>
        <v>46271</v>
      </c>
      <c r="G22" s="7">
        <f t="shared" si="6"/>
        <v>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30"/>
      <c r="AB22" s="30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</row>
    <row r="23" spans="1:42" s="9" customFormat="1" x14ac:dyDescent="0.25">
      <c r="A23" s="16" t="s">
        <v>70</v>
      </c>
      <c r="B23" s="2" t="s">
        <v>71</v>
      </c>
      <c r="C23" s="5" t="s">
        <v>53</v>
      </c>
      <c r="D23" s="5" t="s">
        <v>72</v>
      </c>
      <c r="E23" s="5">
        <f>F22+1</f>
        <v>46272</v>
      </c>
      <c r="F23" s="5">
        <f>E23+2*7-1</f>
        <v>46285</v>
      </c>
      <c r="G23" s="7">
        <f t="shared" si="6"/>
        <v>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30"/>
      <c r="AD23" s="30"/>
      <c r="AE23" s="30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</row>
    <row r="24" spans="1:42" x14ac:dyDescent="0.25">
      <c r="A24" s="3" t="s">
        <v>73</v>
      </c>
      <c r="B24" s="2" t="s">
        <v>74</v>
      </c>
      <c r="C24" s="5" t="s">
        <v>53</v>
      </c>
      <c r="D24" s="1" t="s">
        <v>75</v>
      </c>
      <c r="E24" s="32">
        <f>F23+1</f>
        <v>46286</v>
      </c>
      <c r="F24" s="32">
        <f>E24+6</f>
        <v>46292</v>
      </c>
      <c r="G24" s="7">
        <f t="shared" si="6"/>
        <v>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3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s="10" customFormat="1" x14ac:dyDescent="0.25">
      <c r="A25" s="35" t="s">
        <v>76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</row>
    <row r="26" spans="1:42" s="15" customFormat="1" x14ac:dyDescent="0.25">
      <c r="A26" s="16" t="s">
        <v>77</v>
      </c>
      <c r="B26" s="5" t="s">
        <v>78</v>
      </c>
      <c r="C26" s="6" t="s">
        <v>79</v>
      </c>
      <c r="D26" s="2" t="s">
        <v>121</v>
      </c>
      <c r="E26" s="6">
        <f>DATE(2026,4,13)</f>
        <v>46125</v>
      </c>
      <c r="F26" s="6">
        <f>E26+6</f>
        <v>46131</v>
      </c>
      <c r="G26" s="7">
        <f t="shared" ref="G26:G27" si="7">ROUNDUP((F26 - E26) / 7, 0)</f>
        <v>1</v>
      </c>
      <c r="H26" s="14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</row>
    <row r="27" spans="1:42" s="15" customFormat="1" x14ac:dyDescent="0.25">
      <c r="A27" s="16" t="s">
        <v>80</v>
      </c>
      <c r="B27" s="5" t="s">
        <v>81</v>
      </c>
      <c r="C27" s="6" t="s">
        <v>79</v>
      </c>
      <c r="D27" s="5" t="s">
        <v>82</v>
      </c>
      <c r="E27" s="6">
        <f>DATE(2026,4,13)</f>
        <v>46125</v>
      </c>
      <c r="F27" s="6">
        <f>E27+6</f>
        <v>46131</v>
      </c>
      <c r="G27" s="7">
        <f t="shared" si="7"/>
        <v>1</v>
      </c>
      <c r="H27" s="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</row>
    <row r="28" spans="1:42" s="9" customFormat="1" ht="30" x14ac:dyDescent="0.25">
      <c r="A28" s="16" t="s">
        <v>83</v>
      </c>
      <c r="B28" s="2" t="s">
        <v>84</v>
      </c>
      <c r="C28" s="5" t="s">
        <v>79</v>
      </c>
      <c r="D28" s="2" t="s">
        <v>120</v>
      </c>
      <c r="E28" s="6">
        <f>F27+1</f>
        <v>46132</v>
      </c>
      <c r="F28" s="6">
        <f>E28+6</f>
        <v>46138</v>
      </c>
      <c r="G28" s="7">
        <f>ROUNDUP((F28 - E28) / 7, 0)</f>
        <v>1</v>
      </c>
      <c r="H28" s="6"/>
      <c r="I28" s="14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</row>
    <row r="29" spans="1:42" s="9" customFormat="1" x14ac:dyDescent="0.25">
      <c r="A29" s="16" t="s">
        <v>85</v>
      </c>
      <c r="B29" s="5" t="s">
        <v>86</v>
      </c>
      <c r="C29" s="5" t="s">
        <v>79</v>
      </c>
      <c r="D29" s="2" t="s">
        <v>119</v>
      </c>
      <c r="E29" s="6">
        <f>F27+1</f>
        <v>46132</v>
      </c>
      <c r="F29" s="6">
        <f>E29+6</f>
        <v>46138</v>
      </c>
      <c r="G29" s="7">
        <f t="shared" ref="G29:G35" si="8">ROUNDUP((F29 - E29) / 7, 0)</f>
        <v>1</v>
      </c>
      <c r="H29" s="6"/>
      <c r="I29" s="14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</row>
    <row r="30" spans="1:42" s="9" customFormat="1" x14ac:dyDescent="0.25">
      <c r="A30" s="16" t="s">
        <v>87</v>
      </c>
      <c r="B30" s="5" t="s">
        <v>113</v>
      </c>
      <c r="C30" s="5" t="s">
        <v>79</v>
      </c>
      <c r="D30" s="2" t="s">
        <v>114</v>
      </c>
      <c r="E30" s="6">
        <f>DATE(2026, 7, 6)</f>
        <v>46209</v>
      </c>
      <c r="F30" s="6">
        <f>E30+13</f>
        <v>46222</v>
      </c>
      <c r="G30" s="7">
        <f t="shared" si="8"/>
        <v>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14"/>
      <c r="U30" s="14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</row>
    <row r="31" spans="1:42" s="9" customFormat="1" x14ac:dyDescent="0.25">
      <c r="A31" s="16" t="s">
        <v>90</v>
      </c>
      <c r="B31" s="6" t="s">
        <v>88</v>
      </c>
      <c r="C31" s="5" t="s">
        <v>79</v>
      </c>
      <c r="D31" s="2" t="s">
        <v>89</v>
      </c>
      <c r="E31" s="6">
        <f>F30+1</f>
        <v>46223</v>
      </c>
      <c r="F31" s="6">
        <f>E31+13</f>
        <v>46236</v>
      </c>
      <c r="G31" s="7">
        <f>ROUNDUP((F31 - E31) / 7, 0)</f>
        <v>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4"/>
      <c r="W31" s="14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</row>
    <row r="32" spans="1:42" s="9" customFormat="1" x14ac:dyDescent="0.25">
      <c r="A32" s="16" t="s">
        <v>115</v>
      </c>
      <c r="B32" s="6" t="s">
        <v>91</v>
      </c>
      <c r="C32" s="5" t="s">
        <v>79</v>
      </c>
      <c r="D32" s="5" t="s">
        <v>92</v>
      </c>
      <c r="E32" s="6">
        <f>F31+1</f>
        <v>46237</v>
      </c>
      <c r="F32" s="6">
        <f>E32+13</f>
        <v>46250</v>
      </c>
      <c r="G32" s="7">
        <f t="shared" si="8"/>
        <v>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14"/>
      <c r="Y32" s="14"/>
      <c r="Z32" s="14"/>
      <c r="AA32" s="14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</row>
    <row r="33" spans="1:42" s="9" customFormat="1" x14ac:dyDescent="0.25">
      <c r="A33" s="16" t="s">
        <v>94</v>
      </c>
      <c r="B33" s="6" t="s">
        <v>93</v>
      </c>
      <c r="C33" s="5" t="s">
        <v>79</v>
      </c>
      <c r="D33" s="5" t="s">
        <v>118</v>
      </c>
      <c r="E33" s="6">
        <f>F32+1</f>
        <v>46251</v>
      </c>
      <c r="F33" s="6">
        <f>E33+20</f>
        <v>46271</v>
      </c>
      <c r="G33" s="7">
        <f t="shared" si="8"/>
        <v>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14"/>
      <c r="AC33" s="14"/>
      <c r="AD33" s="14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</row>
    <row r="34" spans="1:42" s="9" customFormat="1" x14ac:dyDescent="0.25">
      <c r="A34" s="16" t="s">
        <v>97</v>
      </c>
      <c r="B34" s="6" t="s">
        <v>95</v>
      </c>
      <c r="C34" s="5" t="s">
        <v>79</v>
      </c>
      <c r="D34" s="5" t="s">
        <v>96</v>
      </c>
      <c r="E34" s="6">
        <f>F33+1</f>
        <v>46272</v>
      </c>
      <c r="F34" s="6">
        <f>E34+6</f>
        <v>46278</v>
      </c>
      <c r="G34" s="7">
        <f t="shared" si="8"/>
        <v>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14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</row>
    <row r="35" spans="1:42" s="9" customFormat="1" x14ac:dyDescent="0.25">
      <c r="A35" s="16" t="s">
        <v>116</v>
      </c>
      <c r="B35" s="6" t="s">
        <v>98</v>
      </c>
      <c r="C35" s="5" t="s">
        <v>79</v>
      </c>
      <c r="D35" s="5" t="s">
        <v>117</v>
      </c>
      <c r="E35" s="6">
        <f>F33+1</f>
        <v>46272</v>
      </c>
      <c r="F35" s="6">
        <f>E35+6</f>
        <v>46278</v>
      </c>
      <c r="G35" s="7">
        <f t="shared" si="8"/>
        <v>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14"/>
      <c r="AG35" s="6"/>
      <c r="AH35" s="6"/>
      <c r="AI35" s="6"/>
      <c r="AJ35" s="6"/>
      <c r="AK35" s="6"/>
      <c r="AL35" s="6"/>
      <c r="AM35" s="6"/>
      <c r="AN35" s="6"/>
      <c r="AO35" s="6"/>
      <c r="AP35" s="6"/>
    </row>
    <row r="36" spans="1:42" s="10" customFormat="1" x14ac:dyDescent="0.25">
      <c r="A36" s="35" t="s">
        <v>99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</row>
    <row r="37" spans="1:42" s="9" customFormat="1" x14ac:dyDescent="0.25">
      <c r="A37" s="16" t="s">
        <v>100</v>
      </c>
      <c r="B37" s="5" t="s">
        <v>101</v>
      </c>
      <c r="C37" s="6" t="s">
        <v>53</v>
      </c>
      <c r="D37" s="5" t="s">
        <v>102</v>
      </c>
      <c r="E37" s="6">
        <f>DATE(2026,4,13)</f>
        <v>46125</v>
      </c>
      <c r="F37" s="6">
        <f>E37+13</f>
        <v>46138</v>
      </c>
      <c r="G37" s="7">
        <f>ROUNDUP((F37 - E37) / 7, 0)</f>
        <v>2</v>
      </c>
      <c r="H37" s="26"/>
      <c r="I37" s="25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</row>
    <row r="38" spans="1:42" s="9" customFormat="1" x14ac:dyDescent="0.25">
      <c r="A38" s="16" t="s">
        <v>123</v>
      </c>
      <c r="B38" s="5" t="s">
        <v>103</v>
      </c>
      <c r="C38" s="6" t="s">
        <v>53</v>
      </c>
      <c r="D38" s="5" t="s">
        <v>104</v>
      </c>
      <c r="E38" s="6">
        <f>F37+1</f>
        <v>46139</v>
      </c>
      <c r="F38" s="6">
        <f>E38+7*9-1</f>
        <v>46201</v>
      </c>
      <c r="G38" s="7">
        <f t="shared" ref="G38:G43" si="9">ROUNDUP((F38 - E38) / 7, 0)</f>
        <v>9</v>
      </c>
      <c r="H38" s="6"/>
      <c r="I38" s="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</row>
    <row r="39" spans="1:42" s="21" customFormat="1" x14ac:dyDescent="0.25">
      <c r="A39" s="17" t="s">
        <v>106</v>
      </c>
      <c r="B39" s="18" t="s">
        <v>122</v>
      </c>
      <c r="C39" s="19" t="s">
        <v>53</v>
      </c>
      <c r="D39" s="18"/>
      <c r="E39" s="19">
        <f>DATE(2026,6,15)</f>
        <v>46188</v>
      </c>
      <c r="F39" s="19">
        <f>E39+6</f>
        <v>46194</v>
      </c>
      <c r="G39" s="20">
        <f t="shared" si="9"/>
        <v>1</v>
      </c>
      <c r="H39" s="19"/>
      <c r="I39" s="19"/>
      <c r="J39" s="19"/>
      <c r="K39" s="19"/>
      <c r="L39" s="19"/>
      <c r="M39" s="19"/>
      <c r="N39" s="19"/>
      <c r="O39" s="19"/>
      <c r="P39" s="19"/>
      <c r="Q39" s="27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</row>
    <row r="40" spans="1:42" s="21" customFormat="1" x14ac:dyDescent="0.25">
      <c r="A40" s="17" t="s">
        <v>124</v>
      </c>
      <c r="B40" s="18" t="s">
        <v>105</v>
      </c>
      <c r="C40" s="19" t="s">
        <v>53</v>
      </c>
      <c r="D40" s="18"/>
      <c r="E40" s="19">
        <f>DATE(2026,10,12)</f>
        <v>46307</v>
      </c>
      <c r="F40" s="19">
        <f>E40+6</f>
        <v>46313</v>
      </c>
      <c r="G40" s="20">
        <f t="shared" si="9"/>
        <v>1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27"/>
      <c r="AI40" s="19"/>
      <c r="AJ40" s="19"/>
      <c r="AK40" s="19"/>
      <c r="AL40" s="19"/>
      <c r="AM40" s="19"/>
      <c r="AN40" s="19"/>
      <c r="AO40" s="19"/>
      <c r="AP40" s="19"/>
    </row>
    <row r="41" spans="1:42" s="9" customFormat="1" x14ac:dyDescent="0.25">
      <c r="A41" s="16" t="s">
        <v>111</v>
      </c>
      <c r="B41" s="5" t="s">
        <v>107</v>
      </c>
      <c r="C41" s="6" t="s">
        <v>53</v>
      </c>
      <c r="D41" s="5" t="s">
        <v>108</v>
      </c>
      <c r="E41" s="6">
        <f>DATE(2026,10,5)</f>
        <v>46300</v>
      </c>
      <c r="F41" s="6">
        <f>E41+6*7-1</f>
        <v>46341</v>
      </c>
      <c r="G41" s="7">
        <f t="shared" si="9"/>
        <v>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29"/>
      <c r="AH41" s="29"/>
      <c r="AI41" s="29"/>
      <c r="AJ41" s="29"/>
      <c r="AK41" s="29"/>
      <c r="AL41" s="29"/>
      <c r="AM41" s="6"/>
      <c r="AN41" s="6"/>
      <c r="AO41" s="6"/>
      <c r="AP41" s="6"/>
    </row>
    <row r="42" spans="1:42" s="9" customFormat="1" x14ac:dyDescent="0.25">
      <c r="A42" s="16" t="s">
        <v>125</v>
      </c>
      <c r="B42" s="5" t="s">
        <v>109</v>
      </c>
      <c r="C42" s="6" t="s">
        <v>53</v>
      </c>
      <c r="D42" s="5" t="s">
        <v>110</v>
      </c>
      <c r="E42" s="6">
        <f>F41+1</f>
        <v>46342</v>
      </c>
      <c r="F42" s="6">
        <f>E42+7*3-1</f>
        <v>46362</v>
      </c>
      <c r="G42" s="7">
        <f t="shared" si="9"/>
        <v>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29"/>
      <c r="AN42" s="29"/>
      <c r="AO42" s="29"/>
      <c r="AP42" s="6"/>
    </row>
    <row r="43" spans="1:42" s="24" customFormat="1" x14ac:dyDescent="0.25">
      <c r="A43" s="17" t="s">
        <v>126</v>
      </c>
      <c r="B43" s="18" t="s">
        <v>112</v>
      </c>
      <c r="C43" s="19" t="s">
        <v>53</v>
      </c>
      <c r="D43" s="22"/>
      <c r="E43" s="34">
        <f>F42+1</f>
        <v>46363</v>
      </c>
      <c r="F43" s="34">
        <f>E43+6</f>
        <v>46369</v>
      </c>
      <c r="G43" s="20">
        <f t="shared" si="9"/>
        <v>1</v>
      </c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8"/>
    </row>
  </sheetData>
  <mergeCells count="21">
    <mergeCell ref="AO2:AP2"/>
    <mergeCell ref="D2:D3"/>
    <mergeCell ref="G2:G3"/>
    <mergeCell ref="F2:F3"/>
    <mergeCell ref="E2:E3"/>
    <mergeCell ref="J2:N2"/>
    <mergeCell ref="H2:I2"/>
    <mergeCell ref="O2:S2"/>
    <mergeCell ref="T2:W2"/>
    <mergeCell ref="X2:AB2"/>
    <mergeCell ref="AC2:AF2"/>
    <mergeCell ref="B2:B3"/>
    <mergeCell ref="A2:A3"/>
    <mergeCell ref="C2:C3"/>
    <mergeCell ref="AG2:AJ2"/>
    <mergeCell ref="AK2:AN2"/>
    <mergeCell ref="A4:AP4"/>
    <mergeCell ref="A16:AP16"/>
    <mergeCell ref="A25:AP25"/>
    <mergeCell ref="A36:AP36"/>
    <mergeCell ref="D6:D7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ceba171-81e1-4273-87c2-12993f16393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123BA5FD5ABD40B9D56C1B363BBE27" ma:contentTypeVersion="13" ma:contentTypeDescription="Create a new document." ma:contentTypeScope="" ma:versionID="2e855c530dd0e171c87b810f92420d98">
  <xsd:schema xmlns:xsd="http://www.w3.org/2001/XMLSchema" xmlns:xs="http://www.w3.org/2001/XMLSchema" xmlns:p="http://schemas.microsoft.com/office/2006/metadata/properties" xmlns:ns3="8ceba171-81e1-4273-87c2-12993f16393d" targetNamespace="http://schemas.microsoft.com/office/2006/metadata/properties" ma:root="true" ma:fieldsID="038c82851f0700fdf2e4c73bf1f67726" ns3:_="">
    <xsd:import namespace="8ceba171-81e1-4273-87c2-12993f16393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eba171-81e1-4273-87c2-12993f1639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3F3EA9-B399-48CE-B802-5A85DE5E1EA8}">
  <ds:schemaRefs>
    <ds:schemaRef ds:uri="http://purl.org/dc/terms/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8ceba171-81e1-4273-87c2-12993f16393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677752DE-D8ED-41CB-BA37-25D1C45EA6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A368EA-6B1E-4BC0-8AF0-15B50CA2CE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eba171-81e1-4273-87c2-12993f1639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tiesen</dc:creator>
  <cp:keywords/>
  <dc:description/>
  <cp:lastModifiedBy>Trần Tiến</cp:lastModifiedBy>
  <cp:revision/>
  <dcterms:created xsi:type="dcterms:W3CDTF">2015-06-05T18:17:20Z</dcterms:created>
  <dcterms:modified xsi:type="dcterms:W3CDTF">2026-04-05T16:19:56Z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0x01010013123BA5FD5ABD40B9D56C1B363BBE27</vt:lpwstr>
  </property>
</Properties>
</file>