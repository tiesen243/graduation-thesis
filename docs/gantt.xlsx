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839bdd138d906f7/Documents/kltn/"/>
    </mc:Choice>
  </mc:AlternateContent>
  <xr:revisionPtr revIDLastSave="284" documentId="13_ncr:1_{14A897D2-2C4A-43D2-8C70-31C75986C6A5}" xr6:coauthVersionLast="47" xr6:coauthVersionMax="47" xr10:uidLastSave="{320C22AE-F9EC-4B07-95D0-AF8A5E72E40F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1" l="1"/>
  <c r="A29" i="1"/>
  <c r="A30" i="1"/>
  <c r="A31" i="1"/>
  <c r="A32" i="1"/>
  <c r="A27" i="1"/>
  <c r="A19" i="1"/>
  <c r="A20" i="1"/>
  <c r="A21" i="1"/>
  <c r="A22" i="1"/>
  <c r="A23" i="1"/>
  <c r="A24" i="1"/>
  <c r="A25" i="1"/>
  <c r="A18" i="1"/>
  <c r="E14" i="1"/>
  <c r="A14" i="1"/>
  <c r="A15" i="1"/>
  <c r="A16" i="1"/>
  <c r="A13" i="1"/>
  <c r="A5" i="1"/>
  <c r="A6" i="1"/>
  <c r="A7" i="1"/>
  <c r="A8" i="1"/>
  <c r="A9" i="1"/>
  <c r="A10" i="1"/>
  <c r="A11" i="1"/>
  <c r="A4" i="1"/>
  <c r="H2" i="1"/>
  <c r="E19" i="1" s="1"/>
  <c r="E5" i="1" l="1"/>
  <c r="F5" i="1" s="1"/>
  <c r="I2" i="1"/>
  <c r="J2" i="1" s="1"/>
  <c r="E4" i="1"/>
  <c r="E6" i="1"/>
  <c r="F6" i="1" s="1"/>
  <c r="E13" i="1"/>
  <c r="F13" i="1" s="1"/>
  <c r="E18" i="1"/>
  <c r="F18" i="1" s="1"/>
  <c r="F19" i="1"/>
  <c r="E20" i="1" s="1"/>
  <c r="F20" i="1" s="1"/>
  <c r="E21" i="1" l="1"/>
  <c r="F21" i="1" s="1"/>
  <c r="K2" i="1"/>
  <c r="L2" i="1" s="1"/>
  <c r="M2" i="1" s="1"/>
  <c r="N2" i="1" s="1"/>
  <c r="O2" i="1" s="1"/>
  <c r="P2" i="1" s="1"/>
  <c r="Q2" i="1" s="1"/>
  <c r="E27" i="1"/>
  <c r="F27" i="1" s="1"/>
  <c r="R2" i="1" l="1"/>
  <c r="S2" i="1" s="1"/>
  <c r="T2" i="1" s="1"/>
  <c r="E7" i="1" s="1"/>
  <c r="U2" i="1" l="1"/>
  <c r="V2" i="1" s="1"/>
  <c r="W2" i="1" s="1"/>
  <c r="X2" i="1" s="1"/>
  <c r="Y2" i="1" s="1"/>
  <c r="Z2" i="1" s="1"/>
  <c r="AA2" i="1" s="1"/>
  <c r="AB2" i="1" s="1"/>
  <c r="AC2" i="1" s="1"/>
  <c r="AD2" i="1" s="1"/>
  <c r="F14" i="1"/>
  <c r="E15" i="1" s="1"/>
  <c r="F15" i="1" s="1"/>
  <c r="E16" i="1" s="1"/>
  <c r="F16" i="1" s="1"/>
  <c r="F7" i="1"/>
  <c r="E8" i="1" s="1"/>
  <c r="F8" i="1" s="1"/>
  <c r="E9" i="1" s="1"/>
  <c r="F9" i="1" s="1"/>
  <c r="E10" i="1" s="1"/>
  <c r="F10" i="1" s="1"/>
  <c r="E11" i="1" s="1"/>
  <c r="F11" i="1" s="1"/>
  <c r="E22" i="1"/>
  <c r="F22" i="1" s="1"/>
  <c r="E23" i="1" s="1"/>
  <c r="F23" i="1" s="1"/>
  <c r="E24" i="1" s="1"/>
  <c r="F24" i="1" s="1"/>
  <c r="E25" i="1" s="1"/>
  <c r="F25" i="1" s="1"/>
  <c r="AE2" i="1" l="1"/>
  <c r="AF2" i="1" s="1"/>
  <c r="AG2" i="1" s="1"/>
  <c r="E28" i="1"/>
  <c r="F28" i="1" s="1"/>
  <c r="AH2" i="1"/>
  <c r="E30" i="1" s="1"/>
  <c r="F30" i="1" s="1"/>
  <c r="E31" i="1" s="1"/>
  <c r="F31" i="1" s="1"/>
  <c r="E32" i="1" s="1"/>
  <c r="F32" i="1" s="1"/>
  <c r="F4" i="1"/>
  <c r="AI2" i="1" l="1"/>
  <c r="AJ2" i="1" s="1"/>
  <c r="AK2" i="1" s="1"/>
  <c r="AL2" i="1" s="1"/>
  <c r="AM2" i="1" s="1"/>
  <c r="AN2" i="1" s="1"/>
  <c r="AO2" i="1" s="1"/>
  <c r="AP2" i="1" s="1"/>
  <c r="AQ2" i="1" s="1"/>
  <c r="E29" i="1"/>
  <c r="F29" i="1" s="1"/>
</calcChain>
</file>

<file path=xl/sharedStrings.xml><?xml version="1.0" encoding="utf-8"?>
<sst xmlns="http://schemas.openxmlformats.org/spreadsheetml/2006/main" count="94" uniqueCount="71">
  <si>
    <t>No.</t>
  </si>
  <si>
    <t>Tiêu đề công việc</t>
  </si>
  <si>
    <t>Người phụ trách</t>
  </si>
  <si>
    <t>Sản phẩm</t>
  </si>
  <si>
    <t>Ngày bắt đầu</t>
  </si>
  <si>
    <t>Ngày kết thúc</t>
  </si>
  <si>
    <t>Thời gian
(tuần)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</si>
  <si>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</si>
  <si>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</si>
  <si>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</si>
  <si>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</si>
  <si>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</si>
  <si>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</si>
  <si>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</si>
  <si>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</si>
  <si>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</si>
  <si>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1. Hardware</t>
  </si>
  <si>
    <t>Tìm hiểu các linh kiện</t>
  </si>
  <si>
    <t>Huy</t>
  </si>
  <si>
    <t>Bảng danh sách linh kiện (BOM) kèm thông số kỹ thuật</t>
  </si>
  <si>
    <t>Tham khảo khối nguồn</t>
  </si>
  <si>
    <t>Tài liệu thuyết minh giải pháp kỹ thuật</t>
  </si>
  <si>
    <t>Tham khảo khối chống nhiễu</t>
  </si>
  <si>
    <t>Thiết kế và mô phỏng mạch</t>
  </si>
  <si>
    <t>Các biểu đồ mô phỏng trên Proteus</t>
  </si>
  <si>
    <t>Chỉnh sửa, tối ưu mạch</t>
  </si>
  <si>
    <t>Bản báo cáo các thay đổi sau mô phỏng</t>
  </si>
  <si>
    <t>Vẽ schematic</t>
  </si>
  <si>
    <t>Bản vẽ nguyên lý chi tiết</t>
  </si>
  <si>
    <t>Thiết kế PCB</t>
  </si>
  <si>
    <t>File thiết kế mạch in và hình ảnh mô phỏng 3D của mạch.</t>
  </si>
  <si>
    <t>Đặt mạch</t>
  </si>
  <si>
    <t>File in và hóa đơn/xác nhận đặt hàng.</t>
  </si>
  <si>
    <t>2. Firmware</t>
  </si>
  <si>
    <t>Cấu hình môi trường và thư viện</t>
  </si>
  <si>
    <t>Tiến, Huy</t>
  </si>
  <si>
    <t>Danh sách các thư viện sẽ dùng</t>
  </si>
  <si>
    <t>Lập trình kết nối WiFi &amp; Quản lý mạng</t>
  </si>
  <si>
    <r>
      <t xml:space="preserve">Module </t>
    </r>
    <r>
      <rPr>
        <sz val="10"/>
        <color theme="1"/>
        <rFont val="Arial Unicode MS"/>
      </rPr>
      <t>WiFi</t>
    </r>
    <r>
      <rPr>
        <sz val="11"/>
        <color theme="1"/>
        <rFont val="Calibri"/>
        <family val="2"/>
        <scheme val="minor"/>
      </rPr>
      <t xml:space="preserve"> hoạt động ổn định.</t>
    </r>
  </si>
  <si>
    <t>Lập trình đọc/ghi dữ liệu ngoại vi</t>
  </si>
  <si>
    <t>Mã nguồn giao tiếp với các thiết bị</t>
  </si>
  <si>
    <t>Xử lý logic nghiệp vụ</t>
  </si>
  <si>
    <t>Mã nguồn các logic điều khiển chính</t>
  </si>
  <si>
    <t>3. Software</t>
  </si>
  <si>
    <t>Tiến</t>
  </si>
  <si>
    <t>Tài liệu hướng dẫn cấu trúc dự án và một dự án mẫu chạy được các tính năng CRUD cơ bản</t>
  </si>
  <si>
    <t>Nguyên cứu phát triển ứng dụng bằng React và React Native</t>
  </si>
  <si>
    <t>Bộ khung dự án đã cấu hình sẵn thư viện cần thiết và tài liệu quy chuẩn code</t>
  </si>
  <si>
    <t>Nghiên cứu cơ chế Real-time với Server-Sent Events</t>
  </si>
  <si>
    <t>Tài liệu đặc tả kỹ thuật luồng dữ liệu và mã nguồn thử nghiệm việc đẩy dữ liệu từ server xuống client theo thời gian thực</t>
  </si>
  <si>
    <t>Nghiên cứu cách triển khai ứng dụng lên Cloudflare Workers</t>
  </si>
  <si>
    <t>Thiết kế cơ sở dữ liệu</t>
  </si>
  <si>
    <t>Bản vẽ các thực thể, thuộc tính và mối quan hệ giữa chúng</t>
  </si>
  <si>
    <t>Thiết kế giao diện phần mềm</t>
  </si>
  <si>
    <t>Bản vẽ Wireframe hoặc Prototype hoàn chỉnh trên Figma</t>
  </si>
  <si>
    <t>Hoàn thiện các API endpoint</t>
  </si>
  <si>
    <t>Tài liệu API và bộ mã nguồn Backend hoàn chỉnh đã được unit test.</t>
  </si>
  <si>
    <t>Hoàn thiện giao diện ứng dụng</t>
  </si>
  <si>
    <t>Mã nguồn Frontent hoàn chỉnh, khớp với thiết kế Figma và đã kết nối dữ liệu từ API</t>
  </si>
  <si>
    <t>4. Khác</t>
  </si>
  <si>
    <t>Phân tích thiết kế hệ thống</t>
  </si>
  <si>
    <t>Danh sách usecase, sequence diagram, test cases</t>
  </si>
  <si>
    <t>Bảo vệ đề cương</t>
  </si>
  <si>
    <t>Báo cáo giữa kì</t>
  </si>
  <si>
    <t>Kiểm thử và tối ưu</t>
  </si>
  <si>
    <t>Bảng kết quả kiểm thử và đo đạt</t>
  </si>
  <si>
    <t>Hoàn thành báo cáo</t>
  </si>
  <si>
    <t>File .docx, .pdf, .ppt</t>
  </si>
  <si>
    <t>Bảo vệ</t>
  </si>
  <si>
    <t>Nghiên cứu cách phát triển server bằng ElysiaJS</t>
  </si>
  <si>
    <t>Tài liệu hướng dẫn quy trình triển khai và file cấu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</si>
</sst>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/mm/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4" fillId="0" borderId="1" xfId="1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64" fontId="4" fillId="0" borderId="0" xfId="0" applyNumberFormat="1" applyFont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4" fontId="2" fillId="0" borderId="1" xfId="0" applyNumberFormat="1" applyFont="1" applyBorder="1"/>
    <xf numFmtId="164" fontId="2" fillId="0" borderId="0" xfId="0" applyNumberFormat="1" applyFont="1"/>
    <xf numFmtId="164" fontId="5" fillId="0" borderId="0" xfId="0" applyNumberFormat="1" applyFont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4" fillId="0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left" vertical="center"/>
    </xf>
    <xf numFmtId="164" fontId="4" fillId="0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164" fontId="4" fillId="0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left" vertical="center" wrapText="1"/>
    </xf>
    <xf numFmtId="164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wrapText="1"/>
    </xf>
    <xf numFmtId="164" fontId="2" fillId="0" borderId="1" xfId="0" applyNumberFormat="1" applyFont="1" applyFill="1" applyBorder="1" applyAlignment="1">
      <alignment horizontal="left"/>
    </xf>
    <xf numFmtId="164" fontId="2" fillId="0" borderId="1" xfId="0" applyNumberFormat="1" applyFont="1" applyFill="1" applyBorder="1"/>
    <xf numFmtId="164" fontId="4" fillId="0" borderId="1" xfId="0" applyNumberFormat="1" applyFont="1" applyBorder="1" applyAlignment="1">
      <alignment vertical="center"/>
    </xf>
    <xf numFmtId="164" fontId="5" fillId="0" borderId="1" xfId="0" applyNumberFormat="1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horizontal="left" vertical="center"/>
    </xf>
    <xf numFmtId="164" fontId="4" fillId="0" borderId="0" xfId="0" applyNumberFormat="1" applyFont="1" applyFill="1" applyBorder="1" applyAlignment="1">
      <alignment horizontal="left" vertical="center"/>
    </xf>
    <xf numFmtId="164" fontId="4" fillId="0" borderId="0" xfId="0" applyNumberFormat="1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horizontal="left" vertical="center"/>
    </xf>
    <xf numFmtId="164" fontId="2" fillId="0" borderId="0" xfId="0" applyNumberFormat="1" applyFont="1" applyFill="1" applyBorder="1"/>
    <xf numFmtId="164" fontId="5" fillId="2" borderId="1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5"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2"/>
  <sheetViews>
    <sheetView tabSelected="1" zoomScale="74" zoomScaleNormal="127" workbookViewId="0">
      <pane xSplit="2" topLeftCell="H1" activePane="topRight" state="frozen"/>
      <selection pane="topRight" activeCell="P27" sqref="P27"/>
    </sheetView>
  </sheetViews>
  <sheetFormatPr defaultRowHeight="15" x14ac:dyDescent="0.25"/>
  <cols>
    <col min="1" max="1" width="4.42578125" bestFit="1" customWidth="1"/>
    <col min="2" max="2" width="56.85546875" bestFit="1" customWidth="1"/>
    <col min="3" max="3" width="16" bestFit="1" customWidth="1"/>
    <col min="4" max="4" width="86.140625" bestFit="1" customWidth="1"/>
    <col min="5" max="5" width="12.5703125" bestFit="1" customWidth="1"/>
    <col min="6" max="6" width="13.28515625" bestFit="1" customWidth="1"/>
    <col min="7" max="7" width="9.42578125" style="5" bestFit="1" customWidth="1"/>
    <col min="8" max="43" width="12.42578125" bestFit="1" customWidth="1"/>
    <col min="44" max="45" width="11.42578125" bestFit="1" customWidth="1"/>
  </cols>
  <sheetData>
    <row r="1" spans="1:45" s="11" customForma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6</v>
      </c>
      <c r="H1" s="14" t="s">
        <v>7</v>
      </c>
      <c r="I1" s="14"/>
      <c r="J1" s="14" t="s">
        <v>8</v>
      </c>
      <c r="K1" s="14"/>
      <c r="L1" s="14"/>
      <c r="M1" s="14"/>
      <c r="N1" s="14"/>
      <c r="O1" s="14" t="s">
        <v>9</v>
      </c>
      <c r="P1" s="14"/>
      <c r="Q1" s="14"/>
      <c r="R1" s="14"/>
      <c r="S1" s="14"/>
      <c r="T1" s="14" t="s">
        <v>10</v>
      </c>
      <c r="U1" s="14"/>
      <c r="V1" s="14"/>
      <c r="W1" s="14"/>
      <c r="X1" s="14" t="s">
        <v>11</v>
      </c>
      <c r="Y1" s="14"/>
      <c r="Z1" s="14"/>
      <c r="AA1" s="14"/>
      <c r="AB1" s="14"/>
      <c r="AC1" s="14" t="s">
        <v>12</v>
      </c>
      <c r="AD1" s="14"/>
      <c r="AE1" s="14"/>
      <c r="AF1" s="14"/>
      <c r="AG1" s="14" t="s">
        <v>13</v>
      </c>
      <c r="AH1" s="14"/>
      <c r="AI1" s="14"/>
      <c r="AJ1" s="14"/>
      <c r="AK1" s="14" t="s">
        <v>14</v>
      </c>
      <c r="AL1" s="14"/>
      <c r="AM1" s="14"/>
      <c r="AN1" s="14"/>
      <c r="AO1" s="33" t="s">
        <v>15</v>
      </c>
      <c r="AP1" s="33"/>
      <c r="AQ1" s="33"/>
      <c r="AR1" s="34"/>
      <c r="AS1" s="34"/>
    </row>
    <row r="2" spans="1:45" s="11" customFormat="1" x14ac:dyDescent="0.25">
      <c r="A2" s="14"/>
      <c r="B2" s="14"/>
      <c r="C2" s="14"/>
      <c r="D2" s="14"/>
      <c r="E2" s="14"/>
      <c r="F2" s="14"/>
      <c r="G2" s="16"/>
      <c r="H2" s="17">
        <f>DATE(2026,4,13)</f>
        <v>46125</v>
      </c>
      <c r="I2" s="17">
        <f>H2+7</f>
        <v>46132</v>
      </c>
      <c r="J2" s="17">
        <f t="shared" ref="J2:AP2" si="0">I2+7</f>
        <v>46139</v>
      </c>
      <c r="K2" s="17">
        <f t="shared" si="0"/>
        <v>46146</v>
      </c>
      <c r="L2" s="17">
        <f t="shared" si="0"/>
        <v>46153</v>
      </c>
      <c r="M2" s="17">
        <f t="shared" si="0"/>
        <v>46160</v>
      </c>
      <c r="N2" s="17">
        <f t="shared" si="0"/>
        <v>46167</v>
      </c>
      <c r="O2" s="17">
        <f t="shared" si="0"/>
        <v>46174</v>
      </c>
      <c r="P2" s="17">
        <f t="shared" si="0"/>
        <v>46181</v>
      </c>
      <c r="Q2" s="17">
        <f t="shared" si="0"/>
        <v>46188</v>
      </c>
      <c r="R2" s="17">
        <f t="shared" si="0"/>
        <v>46195</v>
      </c>
      <c r="S2" s="17">
        <f t="shared" si="0"/>
        <v>46202</v>
      </c>
      <c r="T2" s="17">
        <f t="shared" si="0"/>
        <v>46209</v>
      </c>
      <c r="U2" s="17">
        <f t="shared" si="0"/>
        <v>46216</v>
      </c>
      <c r="V2" s="17">
        <f t="shared" si="0"/>
        <v>46223</v>
      </c>
      <c r="W2" s="17">
        <f t="shared" si="0"/>
        <v>46230</v>
      </c>
      <c r="X2" s="17">
        <f t="shared" si="0"/>
        <v>46237</v>
      </c>
      <c r="Y2" s="17">
        <f t="shared" si="0"/>
        <v>46244</v>
      </c>
      <c r="Z2" s="17">
        <f t="shared" si="0"/>
        <v>46251</v>
      </c>
      <c r="AA2" s="17">
        <f t="shared" si="0"/>
        <v>46258</v>
      </c>
      <c r="AB2" s="17">
        <f t="shared" si="0"/>
        <v>46265</v>
      </c>
      <c r="AC2" s="17">
        <f>AB2+7</f>
        <v>46272</v>
      </c>
      <c r="AD2" s="17">
        <f>AC2+7</f>
        <v>46279</v>
      </c>
      <c r="AE2" s="17">
        <f t="shared" si="0"/>
        <v>46286</v>
      </c>
      <c r="AF2" s="17">
        <f t="shared" si="0"/>
        <v>46293</v>
      </c>
      <c r="AG2" s="17">
        <f>AF2+7</f>
        <v>46300</v>
      </c>
      <c r="AH2" s="17">
        <f>AG2+7</f>
        <v>46307</v>
      </c>
      <c r="AI2" s="17">
        <f t="shared" si="0"/>
        <v>46314</v>
      </c>
      <c r="AJ2" s="17">
        <f t="shared" si="0"/>
        <v>46321</v>
      </c>
      <c r="AK2" s="17">
        <f t="shared" si="0"/>
        <v>46328</v>
      </c>
      <c r="AL2" s="17">
        <f t="shared" si="0"/>
        <v>46335</v>
      </c>
      <c r="AM2" s="17">
        <f t="shared" si="0"/>
        <v>46342</v>
      </c>
      <c r="AN2" s="17">
        <f t="shared" si="0"/>
        <v>46349</v>
      </c>
      <c r="AO2" s="17">
        <f t="shared" si="0"/>
        <v>46356</v>
      </c>
      <c r="AP2" s="17">
        <f t="shared" si="0"/>
        <v>46363</v>
      </c>
      <c r="AQ2" s="17">
        <f t="shared" ref="AQ2" si="1">AP2+7</f>
        <v>46370</v>
      </c>
      <c r="AR2" s="35"/>
      <c r="AS2" s="35"/>
    </row>
    <row r="3" spans="1:45" s="4" customFormat="1" x14ac:dyDescent="0.25">
      <c r="A3" s="12" t="s">
        <v>16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34"/>
      <c r="AS3" s="34"/>
    </row>
    <row r="4" spans="1:45" s="3" customFormat="1" x14ac:dyDescent="0.25">
      <c r="A4" s="41" t="str">
        <f>LEFT($A$3,2) &amp; ROW()-3</f>
        <v>1.1</v>
      </c>
      <c r="B4" s="19" t="s">
        <v>17</v>
      </c>
      <c r="C4" s="19" t="s">
        <v>18</v>
      </c>
      <c r="D4" s="20" t="s">
        <v>19</v>
      </c>
      <c r="E4" s="13">
        <f>H2</f>
        <v>46125</v>
      </c>
      <c r="F4" s="19">
        <f>E4+7*G4-1</f>
        <v>46131</v>
      </c>
      <c r="G4" s="1">
        <v>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2"/>
      <c r="AR4" s="36"/>
      <c r="AS4" s="36"/>
    </row>
    <row r="5" spans="1:45" s="3" customFormat="1" x14ac:dyDescent="0.25">
      <c r="A5" s="41" t="str">
        <f t="shared" ref="A5:A11" si="2">LEFT($A$3,2) &amp; ROW()-3</f>
        <v>1.2</v>
      </c>
      <c r="B5" s="19" t="s">
        <v>20</v>
      </c>
      <c r="C5" s="19" t="s">
        <v>18</v>
      </c>
      <c r="D5" s="21" t="s">
        <v>21</v>
      </c>
      <c r="E5" s="13">
        <f>H2</f>
        <v>46125</v>
      </c>
      <c r="F5" s="19">
        <f t="shared" ref="F5:F11" si="3">E5+7*G5-1</f>
        <v>46138</v>
      </c>
      <c r="G5" s="1">
        <v>2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2"/>
      <c r="AR5" s="36"/>
      <c r="AS5" s="36"/>
    </row>
    <row r="6" spans="1:45" s="3" customFormat="1" x14ac:dyDescent="0.25">
      <c r="A6" s="41" t="str">
        <f t="shared" si="2"/>
        <v>1.3</v>
      </c>
      <c r="B6" s="19" t="s">
        <v>22</v>
      </c>
      <c r="C6" s="19" t="s">
        <v>18</v>
      </c>
      <c r="D6" s="21"/>
      <c r="E6" s="13">
        <f>H2</f>
        <v>46125</v>
      </c>
      <c r="F6" s="19">
        <f t="shared" si="3"/>
        <v>46138</v>
      </c>
      <c r="G6" s="1">
        <v>2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2"/>
      <c r="AR6" s="36"/>
      <c r="AS6" s="36"/>
    </row>
    <row r="7" spans="1:45" s="3" customFormat="1" x14ac:dyDescent="0.25">
      <c r="A7" s="41" t="str">
        <f t="shared" si="2"/>
        <v>1.4</v>
      </c>
      <c r="B7" s="19" t="s">
        <v>23</v>
      </c>
      <c r="C7" s="19" t="s">
        <v>18</v>
      </c>
      <c r="D7" s="22" t="s">
        <v>24</v>
      </c>
      <c r="E7" s="19">
        <f>T2</f>
        <v>46209</v>
      </c>
      <c r="F7" s="19">
        <f t="shared" si="3"/>
        <v>46222</v>
      </c>
      <c r="G7" s="1">
        <v>2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2"/>
      <c r="AR7" s="36"/>
      <c r="AS7" s="36"/>
    </row>
    <row r="8" spans="1:45" s="3" customFormat="1" x14ac:dyDescent="0.25">
      <c r="A8" s="41" t="str">
        <f t="shared" si="2"/>
        <v>1.5</v>
      </c>
      <c r="B8" s="19" t="s">
        <v>25</v>
      </c>
      <c r="C8" s="19" t="s">
        <v>18</v>
      </c>
      <c r="D8" s="19" t="s">
        <v>26</v>
      </c>
      <c r="E8" s="19">
        <f t="shared" ref="E8:E11" si="4">F7+1</f>
        <v>46223</v>
      </c>
      <c r="F8" s="19">
        <f t="shared" si="3"/>
        <v>46236</v>
      </c>
      <c r="G8" s="1">
        <v>2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2"/>
      <c r="AR8" s="36"/>
      <c r="AS8" s="36"/>
    </row>
    <row r="9" spans="1:45" s="3" customFormat="1" x14ac:dyDescent="0.25">
      <c r="A9" s="41" t="str">
        <f t="shared" si="2"/>
        <v>1.6</v>
      </c>
      <c r="B9" s="19" t="s">
        <v>27</v>
      </c>
      <c r="C9" s="19" t="s">
        <v>18</v>
      </c>
      <c r="D9" s="19" t="s">
        <v>28</v>
      </c>
      <c r="E9" s="19">
        <f t="shared" si="4"/>
        <v>46237</v>
      </c>
      <c r="F9" s="19">
        <f t="shared" si="3"/>
        <v>46257</v>
      </c>
      <c r="G9" s="1">
        <v>3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2"/>
      <c r="AR9" s="36"/>
      <c r="AS9" s="36"/>
    </row>
    <row r="10" spans="1:45" s="3" customFormat="1" x14ac:dyDescent="0.25">
      <c r="A10" s="41" t="str">
        <f t="shared" si="2"/>
        <v>1.7</v>
      </c>
      <c r="B10" s="19" t="s">
        <v>29</v>
      </c>
      <c r="C10" s="19" t="s">
        <v>18</v>
      </c>
      <c r="D10" s="19" t="s">
        <v>30</v>
      </c>
      <c r="E10" s="19">
        <f t="shared" si="4"/>
        <v>46258</v>
      </c>
      <c r="F10" s="19">
        <f t="shared" si="3"/>
        <v>46278</v>
      </c>
      <c r="G10" s="1">
        <v>3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2"/>
      <c r="AR10" s="36"/>
      <c r="AS10" s="36"/>
    </row>
    <row r="11" spans="1:45" s="3" customFormat="1" x14ac:dyDescent="0.25">
      <c r="A11" s="41" t="str">
        <f t="shared" si="2"/>
        <v>1.8</v>
      </c>
      <c r="B11" s="19" t="s">
        <v>31</v>
      </c>
      <c r="C11" s="19" t="s">
        <v>18</v>
      </c>
      <c r="D11" s="19" t="s">
        <v>32</v>
      </c>
      <c r="E11" s="19">
        <f t="shared" si="4"/>
        <v>46279</v>
      </c>
      <c r="F11" s="19">
        <f t="shared" si="3"/>
        <v>46306</v>
      </c>
      <c r="G11" s="1">
        <v>4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2"/>
      <c r="AR11" s="36"/>
      <c r="AS11" s="36"/>
    </row>
    <row r="12" spans="1:45" s="4" customFormat="1" x14ac:dyDescent="0.25">
      <c r="A12" s="40" t="s">
        <v>33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34"/>
      <c r="AS12" s="34"/>
    </row>
    <row r="13" spans="1:45" s="3" customFormat="1" x14ac:dyDescent="0.25">
      <c r="A13" s="18" t="str">
        <f>LEFT($A$12,2) &amp; ROW()-12</f>
        <v>2.1</v>
      </c>
      <c r="B13" s="20" t="s">
        <v>34</v>
      </c>
      <c r="C13" s="19" t="s">
        <v>35</v>
      </c>
      <c r="D13" s="22" t="s">
        <v>36</v>
      </c>
      <c r="E13" s="13">
        <f>H2</f>
        <v>46125</v>
      </c>
      <c r="F13" s="19">
        <f>E13+7*G13-1</f>
        <v>46131</v>
      </c>
      <c r="G13" s="23">
        <v>1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2"/>
      <c r="AR13" s="36"/>
      <c r="AS13" s="36"/>
    </row>
    <row r="14" spans="1:45" s="3" customFormat="1" x14ac:dyDescent="0.25">
      <c r="A14" s="18" t="str">
        <f t="shared" ref="A14:A16" si="5">LEFT($A$12,2) &amp; ROW()-12</f>
        <v>2.2</v>
      </c>
      <c r="B14" s="20" t="s">
        <v>37</v>
      </c>
      <c r="C14" s="19" t="s">
        <v>35</v>
      </c>
      <c r="D14" s="22" t="s">
        <v>38</v>
      </c>
      <c r="E14" s="13">
        <f>V2</f>
        <v>46223</v>
      </c>
      <c r="F14" s="19">
        <f t="shared" ref="F14:F16" si="6">E14+7*G14-1</f>
        <v>46229</v>
      </c>
      <c r="G14" s="23">
        <v>1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2"/>
      <c r="AR14" s="36"/>
      <c r="AS14" s="36"/>
    </row>
    <row r="15" spans="1:45" s="3" customFormat="1" x14ac:dyDescent="0.25">
      <c r="A15" s="18" t="str">
        <f t="shared" si="5"/>
        <v>2.3</v>
      </c>
      <c r="B15" s="20" t="s">
        <v>39</v>
      </c>
      <c r="C15" s="19" t="s">
        <v>35</v>
      </c>
      <c r="D15" s="19" t="s">
        <v>40</v>
      </c>
      <c r="E15" s="19">
        <f t="shared" ref="E15:E16" si="7">F14+1</f>
        <v>46230</v>
      </c>
      <c r="F15" s="19">
        <f t="shared" si="6"/>
        <v>46236</v>
      </c>
      <c r="G15" s="23">
        <v>1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2"/>
      <c r="AR15" s="36"/>
      <c r="AS15" s="36"/>
    </row>
    <row r="16" spans="1:45" s="3" customFormat="1" x14ac:dyDescent="0.25">
      <c r="A16" s="18" t="str">
        <f t="shared" si="5"/>
        <v>2.4</v>
      </c>
      <c r="B16" s="20" t="s">
        <v>41</v>
      </c>
      <c r="C16" s="19" t="s">
        <v>35</v>
      </c>
      <c r="D16" s="19" t="s">
        <v>42</v>
      </c>
      <c r="E16" s="19">
        <f t="shared" si="7"/>
        <v>46237</v>
      </c>
      <c r="F16" s="19">
        <f t="shared" si="6"/>
        <v>46306</v>
      </c>
      <c r="G16" s="23">
        <v>10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2"/>
      <c r="AR16" s="36"/>
      <c r="AS16" s="36"/>
    </row>
    <row r="17" spans="1:45" s="4" customFormat="1" x14ac:dyDescent="0.25">
      <c r="A17" s="40" t="s">
        <v>43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34"/>
      <c r="AS17" s="34"/>
    </row>
    <row r="18" spans="1:45" s="6" customFormat="1" x14ac:dyDescent="0.25">
      <c r="A18" s="18" t="str">
        <f>LEFT($A$17,2) &amp; ROW()-17</f>
        <v>3.1</v>
      </c>
      <c r="B18" s="19" t="s">
        <v>69</v>
      </c>
      <c r="C18" s="13" t="s">
        <v>44</v>
      </c>
      <c r="D18" s="20" t="s">
        <v>45</v>
      </c>
      <c r="E18" s="13">
        <f>H2</f>
        <v>46125</v>
      </c>
      <c r="F18" s="13">
        <f>E18+7*G18-1</f>
        <v>46131</v>
      </c>
      <c r="G18" s="23">
        <v>1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32"/>
      <c r="AR18" s="37"/>
      <c r="AS18" s="37"/>
    </row>
    <row r="19" spans="1:45" s="6" customFormat="1" x14ac:dyDescent="0.25">
      <c r="A19" s="18" t="str">
        <f t="shared" ref="A19:A25" si="8">LEFT($A$17,2) &amp; ROW()-17</f>
        <v>3.2</v>
      </c>
      <c r="B19" s="19" t="s">
        <v>46</v>
      </c>
      <c r="C19" s="13" t="s">
        <v>44</v>
      </c>
      <c r="D19" s="19" t="s">
        <v>47</v>
      </c>
      <c r="E19" s="13">
        <f>H2</f>
        <v>46125</v>
      </c>
      <c r="F19" s="13">
        <f t="shared" ref="F19:F25" si="9">E19+7*G19-1</f>
        <v>46131</v>
      </c>
      <c r="G19" s="23">
        <v>1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32"/>
      <c r="AR19" s="37"/>
      <c r="AS19" s="37"/>
    </row>
    <row r="20" spans="1:45" s="3" customFormat="1" ht="30" x14ac:dyDescent="0.25">
      <c r="A20" s="18" t="str">
        <f t="shared" si="8"/>
        <v>3.3</v>
      </c>
      <c r="B20" s="20" t="s">
        <v>48</v>
      </c>
      <c r="C20" s="19" t="s">
        <v>44</v>
      </c>
      <c r="D20" s="20" t="s">
        <v>49</v>
      </c>
      <c r="E20" s="13">
        <f>F19+1</f>
        <v>46132</v>
      </c>
      <c r="F20" s="13">
        <f t="shared" si="9"/>
        <v>46138</v>
      </c>
      <c r="G20" s="23">
        <v>1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2"/>
      <c r="AR20" s="36"/>
      <c r="AS20" s="36"/>
    </row>
    <row r="21" spans="1:45" s="3" customFormat="1" x14ac:dyDescent="0.25">
      <c r="A21" s="18" t="str">
        <f t="shared" si="8"/>
        <v>3.4</v>
      </c>
      <c r="B21" s="19" t="s">
        <v>50</v>
      </c>
      <c r="C21" s="19" t="s">
        <v>44</v>
      </c>
      <c r="D21" s="20" t="s">
        <v>70</v>
      </c>
      <c r="E21" s="13">
        <f>F19+1</f>
        <v>46132</v>
      </c>
      <c r="F21" s="13">
        <f t="shared" si="9"/>
        <v>46138</v>
      </c>
      <c r="G21" s="23">
        <v>1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2"/>
      <c r="AR21" s="36"/>
      <c r="AS21" s="36"/>
    </row>
    <row r="22" spans="1:45" s="3" customFormat="1" x14ac:dyDescent="0.25">
      <c r="A22" s="18" t="str">
        <f t="shared" si="8"/>
        <v>3.5</v>
      </c>
      <c r="B22" s="19" t="s">
        <v>51</v>
      </c>
      <c r="C22" s="19" t="s">
        <v>44</v>
      </c>
      <c r="D22" s="20" t="s">
        <v>52</v>
      </c>
      <c r="E22" s="13">
        <f>T2</f>
        <v>46209</v>
      </c>
      <c r="F22" s="13">
        <f t="shared" si="9"/>
        <v>46222</v>
      </c>
      <c r="G22" s="23">
        <v>2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2"/>
      <c r="AR22" s="36"/>
      <c r="AS22" s="36"/>
    </row>
    <row r="23" spans="1:45" s="3" customFormat="1" x14ac:dyDescent="0.25">
      <c r="A23" s="18" t="str">
        <f t="shared" si="8"/>
        <v>3.6</v>
      </c>
      <c r="B23" s="13" t="s">
        <v>53</v>
      </c>
      <c r="C23" s="19" t="s">
        <v>44</v>
      </c>
      <c r="D23" s="20" t="s">
        <v>54</v>
      </c>
      <c r="E23" s="13">
        <f>F22+1</f>
        <v>46223</v>
      </c>
      <c r="F23" s="13">
        <f t="shared" si="9"/>
        <v>46236</v>
      </c>
      <c r="G23" s="23">
        <v>2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2"/>
      <c r="AR23" s="36"/>
      <c r="AS23" s="36"/>
    </row>
    <row r="24" spans="1:45" s="3" customFormat="1" x14ac:dyDescent="0.25">
      <c r="A24" s="18" t="str">
        <f t="shared" si="8"/>
        <v>3.7</v>
      </c>
      <c r="B24" s="13" t="s">
        <v>55</v>
      </c>
      <c r="C24" s="19" t="s">
        <v>44</v>
      </c>
      <c r="D24" s="19" t="s">
        <v>56</v>
      </c>
      <c r="E24" s="13">
        <f>F23+1</f>
        <v>46237</v>
      </c>
      <c r="F24" s="13">
        <f t="shared" si="9"/>
        <v>46271</v>
      </c>
      <c r="G24" s="23">
        <v>5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2"/>
      <c r="AR24" s="36"/>
      <c r="AS24" s="36"/>
    </row>
    <row r="25" spans="1:45" s="3" customFormat="1" x14ac:dyDescent="0.25">
      <c r="A25" s="18" t="str">
        <f t="shared" si="8"/>
        <v>3.8</v>
      </c>
      <c r="B25" s="13" t="s">
        <v>57</v>
      </c>
      <c r="C25" s="19" t="s">
        <v>44</v>
      </c>
      <c r="D25" s="19" t="s">
        <v>58</v>
      </c>
      <c r="E25" s="13">
        <f>F24+1</f>
        <v>46272</v>
      </c>
      <c r="F25" s="13">
        <f t="shared" si="9"/>
        <v>46306</v>
      </c>
      <c r="G25" s="23">
        <v>5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2"/>
      <c r="AR25" s="36"/>
      <c r="AS25" s="36"/>
    </row>
    <row r="26" spans="1:45" s="4" customFormat="1" x14ac:dyDescent="0.25">
      <c r="A26" s="12" t="s">
        <v>59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35"/>
      <c r="AS26" s="35"/>
    </row>
    <row r="27" spans="1:45" s="3" customFormat="1" x14ac:dyDescent="0.25">
      <c r="A27" s="18" t="str">
        <f>LEFT($A$26,2) &amp; ROW()-26</f>
        <v>4.1</v>
      </c>
      <c r="B27" s="19" t="s">
        <v>60</v>
      </c>
      <c r="C27" s="13" t="s">
        <v>35</v>
      </c>
      <c r="D27" s="19" t="s">
        <v>61</v>
      </c>
      <c r="E27" s="13">
        <f>J2</f>
        <v>46139</v>
      </c>
      <c r="F27" s="13">
        <f t="shared" ref="F27:F32" si="10">E27+7*G27-1</f>
        <v>46208</v>
      </c>
      <c r="G27" s="23">
        <v>10</v>
      </c>
      <c r="H27" s="13"/>
      <c r="I27" s="13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2"/>
      <c r="AR27" s="36"/>
      <c r="AS27" s="36"/>
    </row>
    <row r="28" spans="1:45" s="8" customFormat="1" x14ac:dyDescent="0.25">
      <c r="A28" s="25" t="str">
        <f t="shared" ref="A28:A32" si="11">LEFT($A$26,2) &amp; ROW()-26</f>
        <v>4.2</v>
      </c>
      <c r="B28" s="26" t="s">
        <v>62</v>
      </c>
      <c r="C28" s="27" t="s">
        <v>35</v>
      </c>
      <c r="D28" s="26"/>
      <c r="E28" s="27">
        <f>AD2</f>
        <v>46279</v>
      </c>
      <c r="F28" s="27">
        <f t="shared" si="10"/>
        <v>46285</v>
      </c>
      <c r="G28" s="28">
        <v>1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7"/>
      <c r="AR28" s="38"/>
      <c r="AS28" s="38"/>
    </row>
    <row r="29" spans="1:45" s="8" customFormat="1" x14ac:dyDescent="0.25">
      <c r="A29" s="25" t="str">
        <f t="shared" si="11"/>
        <v>4.3</v>
      </c>
      <c r="B29" s="26" t="s">
        <v>63</v>
      </c>
      <c r="C29" s="27" t="s">
        <v>35</v>
      </c>
      <c r="D29" s="26"/>
      <c r="E29" s="27">
        <f>AH2</f>
        <v>46307</v>
      </c>
      <c r="F29" s="27">
        <f t="shared" si="10"/>
        <v>46313</v>
      </c>
      <c r="G29" s="28">
        <v>1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7"/>
      <c r="AR29" s="38"/>
      <c r="AS29" s="38"/>
    </row>
    <row r="30" spans="1:45" s="3" customFormat="1" x14ac:dyDescent="0.25">
      <c r="A30" s="18" t="str">
        <f t="shared" si="11"/>
        <v>4.4</v>
      </c>
      <c r="B30" s="19" t="s">
        <v>64</v>
      </c>
      <c r="C30" s="13" t="s">
        <v>35</v>
      </c>
      <c r="D30" s="19" t="s">
        <v>65</v>
      </c>
      <c r="E30" s="13">
        <f>AH2</f>
        <v>46307</v>
      </c>
      <c r="F30" s="13">
        <f t="shared" si="10"/>
        <v>46334</v>
      </c>
      <c r="G30" s="23">
        <v>4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2"/>
      <c r="AR30" s="36"/>
      <c r="AS30" s="36"/>
    </row>
    <row r="31" spans="1:45" s="3" customFormat="1" x14ac:dyDescent="0.25">
      <c r="A31" s="18" t="str">
        <f t="shared" si="11"/>
        <v>4.5</v>
      </c>
      <c r="B31" s="19" t="s">
        <v>66</v>
      </c>
      <c r="C31" s="13" t="s">
        <v>35</v>
      </c>
      <c r="D31" s="19" t="s">
        <v>67</v>
      </c>
      <c r="E31" s="13">
        <f>F30+1</f>
        <v>46335</v>
      </c>
      <c r="F31" s="13">
        <f t="shared" si="10"/>
        <v>46362</v>
      </c>
      <c r="G31" s="23">
        <v>4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2"/>
      <c r="AR31" s="36"/>
      <c r="AS31" s="36"/>
    </row>
    <row r="32" spans="1:45" s="10" customFormat="1" x14ac:dyDescent="0.25">
      <c r="A32" s="25" t="str">
        <f t="shared" si="11"/>
        <v>4.6</v>
      </c>
      <c r="B32" s="26" t="s">
        <v>68</v>
      </c>
      <c r="C32" s="27" t="s">
        <v>35</v>
      </c>
      <c r="D32" s="29"/>
      <c r="E32" s="30">
        <f>F31+1</f>
        <v>46363</v>
      </c>
      <c r="F32" s="27">
        <f t="shared" si="10"/>
        <v>46376</v>
      </c>
      <c r="G32" s="28">
        <v>2</v>
      </c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9"/>
      <c r="AR32" s="39"/>
      <c r="AS32" s="39"/>
    </row>
  </sheetData>
  <mergeCells count="21">
    <mergeCell ref="D1:D2"/>
    <mergeCell ref="G1:G2"/>
    <mergeCell ref="F1:F2"/>
    <mergeCell ref="E1:E2"/>
    <mergeCell ref="J1:N1"/>
    <mergeCell ref="H1:I1"/>
    <mergeCell ref="O1:S1"/>
    <mergeCell ref="T1:W1"/>
    <mergeCell ref="X1:AB1"/>
    <mergeCell ref="AC1:AF1"/>
    <mergeCell ref="AO1:AQ1"/>
    <mergeCell ref="B1:B2"/>
    <mergeCell ref="A1:A2"/>
    <mergeCell ref="C1:C2"/>
    <mergeCell ref="AG1:AJ1"/>
    <mergeCell ref="AK1:AN1"/>
    <mergeCell ref="D5:D6"/>
    <mergeCell ref="A26:AQ26"/>
    <mergeCell ref="A3:AQ3"/>
    <mergeCell ref="A17:AQ17"/>
    <mergeCell ref="A12:AQ12"/>
  </mergeCells>
  <phoneticPr fontId="3" type="noConversion"/>
  <conditionalFormatting sqref="H2:AQ2">
    <cfRule type="expression" dxfId="4" priority="5" stopIfTrue="1">
      <formula>AND(TODAY()&gt;=H$2,TODAY()&lt;H$2+7)</formula>
    </cfRule>
  </conditionalFormatting>
  <conditionalFormatting sqref="H4:AQ11">
    <cfRule type="expression" dxfId="3" priority="4">
      <formula>AND(H$2&gt;=$E4,H$2&lt;$E4+$G4*7)</formula>
    </cfRule>
  </conditionalFormatting>
  <conditionalFormatting sqref="H13:AQ16">
    <cfRule type="expression" dxfId="2" priority="3">
      <formula>AND(H$2&gt;=$E13,H$2&lt;$E13+$G13*7)</formula>
    </cfRule>
  </conditionalFormatting>
  <conditionalFormatting sqref="H18:AQ25">
    <cfRule type="expression" dxfId="1" priority="2">
      <formula>AND(H$2&gt;=$E18,H$2&lt;$E18+$G18*7)</formula>
    </cfRule>
  </conditionalFormatting>
  <conditionalFormatting sqref="H27:AQ32">
    <cfRule type="expression" dxfId="0" priority="1">
      <formula>AND(H$2&gt;=$E27,H$2&lt;$E27+$G27*7)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123BA5FD5ABD40B9D56C1B363BBE27" ma:contentTypeVersion="13" ma:contentTypeDescription="Create a new document." ma:contentTypeScope="" ma:versionID="2e855c530dd0e171c87b810f92420d98">
  <xsd:schema xmlns:xsd="http://www.w3.org/2001/XMLSchema" xmlns:xs="http://www.w3.org/2001/XMLSchema" xmlns:p="http://schemas.microsoft.com/office/2006/metadata/properties" xmlns:ns3="8ceba171-81e1-4273-87c2-12993f16393d" targetNamespace="http://schemas.microsoft.com/office/2006/metadata/properties" ma:root="true" ma:fieldsID="038c82851f0700fdf2e4c73bf1f67726" ns3:_="">
    <xsd:import namespace="8ceba171-81e1-4273-87c2-12993f16393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ba171-81e1-4273-87c2-12993f1639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eba171-81e1-4273-87c2-12993f16393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A368EA-6B1E-4BC0-8AF0-15B50CA2CE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eba171-81e1-4273-87c2-12993f163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3F3EA9-B399-48CE-B802-5A85DE5E1EA8}">
  <ds:schemaRefs>
    <ds:schemaRef ds:uri="http://schemas.microsoft.com/office/2006/metadata/properties"/>
    <ds:schemaRef ds:uri="http://schemas.microsoft.com/office/infopath/2007/PartnerControls"/>
    <ds:schemaRef ds:uri="8ceba171-81e1-4273-87c2-12993f16393d"/>
  </ds:schemaRefs>
</ds:datastoreItem>
</file>

<file path=customXml/itemProps3.xml><?xml version="1.0" encoding="utf-8"?>
<ds:datastoreItem xmlns:ds="http://schemas.openxmlformats.org/officeDocument/2006/customXml" ds:itemID="{677752DE-D8ED-41CB-BA37-25D1C45EA6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tiesen</dc:creator>
  <cp:keywords/>
  <dc:description/>
  <cp:lastModifiedBy>Tiến Trần</cp:lastModifiedBy>
  <cp:revision/>
  <dcterms:created xsi:type="dcterms:W3CDTF">2015-06-05T18:17:20Z</dcterms:created>
  <dcterms:modified xsi:type="dcterms:W3CDTF">2026-04-09T01:58:25Z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0x01010013123BA5FD5ABD40B9D56C1B363BBE27</vt:lpwstr>
  </property>
</Properties>
</file>